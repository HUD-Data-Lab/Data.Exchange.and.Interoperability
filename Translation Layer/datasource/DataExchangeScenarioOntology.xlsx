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1084\Desktop\NHDAP Data Lab\ICF Data Lab\GT.Data.Exchange.and.Interoperability\Translation Layer\datasource\"/>
    </mc:Choice>
  </mc:AlternateContent>
  <xr:revisionPtr revIDLastSave="0" documentId="13_ncr:1_{E5D10FF2-D1AF-4141-9EDE-9F4AD828614E}" xr6:coauthVersionLast="47" xr6:coauthVersionMax="47" xr10:uidLastSave="{00000000-0000-0000-0000-000000000000}"/>
  <bookViews>
    <workbookView xWindow="-105" yWindow="0" windowWidth="13770" windowHeight="15585" xr2:uid="{1C3FD161-D8D5-4061-9DD1-3DB30ABB8FE0}"/>
  </bookViews>
  <sheets>
    <sheet name="Scenario" sheetId="17" r:id="rId1"/>
    <sheet name="ScenarioMapping" sheetId="12" r:id="rId2"/>
  </sheets>
  <definedNames>
    <definedName name="_xlnm._FilterDatabase" localSheetId="1" hidden="1">ScenarioMapping!$A$1:$F$324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2" i="12"/>
</calcChain>
</file>

<file path=xl/sharedStrings.xml><?xml version="1.0" encoding="utf-8"?>
<sst xmlns="http://schemas.openxmlformats.org/spreadsheetml/2006/main" count="2562" uniqueCount="837">
  <si>
    <t>ProjectType</t>
  </si>
  <si>
    <t>Project</t>
  </si>
  <si>
    <t>ProjectID</t>
  </si>
  <si>
    <t>Class</t>
  </si>
  <si>
    <t>2.02.6</t>
  </si>
  <si>
    <t>2.02.7</t>
  </si>
  <si>
    <t>2.02.8</t>
  </si>
  <si>
    <t>2.02.A</t>
  </si>
  <si>
    <t>2.02.D</t>
  </si>
  <si>
    <t>2.03.4</t>
  </si>
  <si>
    <t>2.06.1</t>
  </si>
  <si>
    <t>2.07.4</t>
  </si>
  <si>
    <t>2.07.5</t>
  </si>
  <si>
    <t>2.07.6</t>
  </si>
  <si>
    <t>2.08.1</t>
  </si>
  <si>
    <t>3.01.5</t>
  </si>
  <si>
    <t>3.02.2</t>
  </si>
  <si>
    <t>3.03.2</t>
  </si>
  <si>
    <t>3.12.1</t>
  </si>
  <si>
    <t>3.12.A</t>
  </si>
  <si>
    <t>3.15.1</t>
  </si>
  <si>
    <t>3.917.2</t>
  </si>
  <si>
    <t>3.917.4</t>
  </si>
  <si>
    <t>3.917.5</t>
  </si>
  <si>
    <t>4.11.A</t>
  </si>
  <si>
    <t>4.19.3</t>
  </si>
  <si>
    <t>4.19.4</t>
  </si>
  <si>
    <t>4.19.7</t>
  </si>
  <si>
    <t>4.20.2</t>
  </si>
  <si>
    <t>4.20.D</t>
  </si>
  <si>
    <t>4.21</t>
  </si>
  <si>
    <t>C3.2</t>
  </si>
  <si>
    <t>C3.A</t>
  </si>
  <si>
    <t>C3.B</t>
  </si>
  <si>
    <t>R1.1</t>
  </si>
  <si>
    <t>R11.A</t>
  </si>
  <si>
    <t>R15.B</t>
  </si>
  <si>
    <t>R17.1</t>
  </si>
  <si>
    <t>R17.A</t>
  </si>
  <si>
    <t>R2.A</t>
  </si>
  <si>
    <t>R20.2</t>
  </si>
  <si>
    <t>R4.1</t>
  </si>
  <si>
    <t>R5.1</t>
  </si>
  <si>
    <t>R6.A</t>
  </si>
  <si>
    <t>R6.B</t>
  </si>
  <si>
    <t>R7.1</t>
  </si>
  <si>
    <t>V1.11</t>
  </si>
  <si>
    <t>V1.12</t>
  </si>
  <si>
    <t>V10</t>
  </si>
  <si>
    <t>V2.A</t>
  </si>
  <si>
    <t>V2.B</t>
  </si>
  <si>
    <t>V2.C</t>
  </si>
  <si>
    <t>V3.4</t>
  </si>
  <si>
    <t>V4.1</t>
  </si>
  <si>
    <t>V7.A</t>
  </si>
  <si>
    <t>V7.B</t>
  </si>
  <si>
    <t>V7.C</t>
  </si>
  <si>
    <t>V7.G</t>
  </si>
  <si>
    <t>V7.I</t>
  </si>
  <si>
    <t>V7.O</t>
  </si>
  <si>
    <t>V9.1</t>
  </si>
  <si>
    <t>W3</t>
  </si>
  <si>
    <t>W4.B</t>
  </si>
  <si>
    <t>W5.1</t>
  </si>
  <si>
    <t>1</t>
  </si>
  <si>
    <t>8</t>
  </si>
  <si>
    <t>9</t>
  </si>
  <si>
    <t>2</t>
  </si>
  <si>
    <t>3</t>
  </si>
  <si>
    <t>4</t>
  </si>
  <si>
    <t>10</t>
  </si>
  <si>
    <t>DE#</t>
  </si>
  <si>
    <t>Name</t>
  </si>
  <si>
    <t>2.02.1</t>
  </si>
  <si>
    <t>2.02.2</t>
  </si>
  <si>
    <t>ProjectName</t>
  </si>
  <si>
    <t>2.02.3</t>
  </si>
  <si>
    <t>OperatingStartDate</t>
  </si>
  <si>
    <t>2.02.4</t>
  </si>
  <si>
    <t>OperatingEndDate</t>
  </si>
  <si>
    <t>2.02.5</t>
  </si>
  <si>
    <t>ContinuumProject</t>
  </si>
  <si>
    <t>HousingType</t>
  </si>
  <si>
    <t>RRHSubType</t>
  </si>
  <si>
    <t>2.02.B</t>
  </si>
  <si>
    <t>ResidentialAffiliation</t>
  </si>
  <si>
    <t>TargetPopulation</t>
  </si>
  <si>
    <t>HOPWAMedAssistedLivingFac</t>
  </si>
  <si>
    <t>Affiliation</t>
  </si>
  <si>
    <t>2.02.C</t>
  </si>
  <si>
    <t>ResProjectID</t>
  </si>
  <si>
    <t>Enrollment</t>
  </si>
  <si>
    <t xml:space="preserve">2.02.1 </t>
  </si>
  <si>
    <t>Organization</t>
  </si>
  <si>
    <t>2.01.1 </t>
  </si>
  <si>
    <t>OrganizationID </t>
  </si>
  <si>
    <t>2.01.2 </t>
  </si>
  <si>
    <t>OrganizationName </t>
  </si>
  <si>
    <t>2.01.3</t>
  </si>
  <si>
    <t>VictimServiceProvider</t>
  </si>
  <si>
    <t>User</t>
  </si>
  <si>
    <t>UserID</t>
  </si>
  <si>
    <t>2.01.1</t>
  </si>
  <si>
    <t>OrganizationID</t>
  </si>
  <si>
    <t>D</t>
  </si>
  <si>
    <t>I</t>
  </si>
  <si>
    <t>Funder</t>
  </si>
  <si>
    <t>2.06.A</t>
  </si>
  <si>
    <t>OtherFunder</t>
  </si>
  <si>
    <t>2.06.2</t>
  </si>
  <si>
    <t>GrantID</t>
  </si>
  <si>
    <t>2.06.3</t>
  </si>
  <si>
    <t>StartDate</t>
  </si>
  <si>
    <t>2.06.4</t>
  </si>
  <si>
    <t>EndDate</t>
  </si>
  <si>
    <t>ProjectCoC</t>
  </si>
  <si>
    <t>2.03.1</t>
  </si>
  <si>
    <t>CoCCode</t>
  </si>
  <si>
    <t>2.03.2</t>
  </si>
  <si>
    <t>2.03.3</t>
  </si>
  <si>
    <t>Address1</t>
  </si>
  <si>
    <t>Address2</t>
  </si>
  <si>
    <t>2.03.5</t>
  </si>
  <si>
    <t>City</t>
  </si>
  <si>
    <t>2.03.6</t>
  </si>
  <si>
    <t>State</t>
  </si>
  <si>
    <t>2.03.7</t>
  </si>
  <si>
    <t>ZIP</t>
  </si>
  <si>
    <t>2.03.8</t>
  </si>
  <si>
    <t>GeographyType</t>
  </si>
  <si>
    <t>Inventory</t>
  </si>
  <si>
    <t>2.07.3</t>
  </si>
  <si>
    <t>HouseholdType</t>
  </si>
  <si>
    <t>Availability</t>
  </si>
  <si>
    <t>2.07.15</t>
  </si>
  <si>
    <t>UnitInventory</t>
  </si>
  <si>
    <t>2.07.14</t>
  </si>
  <si>
    <t>BedInventory</t>
  </si>
  <si>
    <t>2.07.7</t>
  </si>
  <si>
    <t>CHVetBedInventory</t>
  </si>
  <si>
    <t>2.07.8</t>
  </si>
  <si>
    <t>YouthVetBedInventory</t>
  </si>
  <si>
    <t>2.07.9</t>
  </si>
  <si>
    <t>VetBedInventory</t>
  </si>
  <si>
    <t>2.07.10</t>
  </si>
  <si>
    <t>CHYouthBedInventory</t>
  </si>
  <si>
    <t>2.07.11</t>
  </si>
  <si>
    <t>YouthBedInventory</t>
  </si>
  <si>
    <t>2.07.12</t>
  </si>
  <si>
    <t>CHBedInventory</t>
  </si>
  <si>
    <t>2.07.13</t>
  </si>
  <si>
    <t>OtherBedInventory</t>
  </si>
  <si>
    <t>ESBedType</t>
  </si>
  <si>
    <t>2.07.1</t>
  </si>
  <si>
    <t>InventoryStartDate</t>
  </si>
  <si>
    <t>2.07.2</t>
  </si>
  <si>
    <t>InventoryEndDate</t>
  </si>
  <si>
    <t>HMISParticipation</t>
  </si>
  <si>
    <t>HMISParticipationType</t>
  </si>
  <si>
    <t>2.08.2</t>
  </si>
  <si>
    <t>HMISParticipationStatusStartDate</t>
  </si>
  <si>
    <t>2.08.3</t>
  </si>
  <si>
    <t>HMISParticipationStatusEndDate</t>
  </si>
  <si>
    <t>CEParticipation</t>
  </si>
  <si>
    <t>2.09.1</t>
  </si>
  <si>
    <t>AccessPoint</t>
  </si>
  <si>
    <t>2.09.A</t>
  </si>
  <si>
    <t>PreventionAssessment</t>
  </si>
  <si>
    <t>CrisisAssessment</t>
  </si>
  <si>
    <t>HousingAssessment</t>
  </si>
  <si>
    <t>DirectServices</t>
  </si>
  <si>
    <t>2.09.2</t>
  </si>
  <si>
    <t>ReceivesReferrals</t>
  </si>
  <si>
    <t>2.09.3</t>
  </si>
  <si>
    <t>CEParticipationStatusStartDate</t>
  </si>
  <si>
    <t>2.09.4</t>
  </si>
  <si>
    <t>CEParticipationStatusEndDate</t>
  </si>
  <si>
    <t>Client</t>
  </si>
  <si>
    <t>PersonalID</t>
  </si>
  <si>
    <t>3.01.1</t>
  </si>
  <si>
    <t>FirstName</t>
  </si>
  <si>
    <t>3.01.2</t>
  </si>
  <si>
    <t>MiddleName</t>
  </si>
  <si>
    <t>3.01.3</t>
  </si>
  <si>
    <t>LastName</t>
  </si>
  <si>
    <t>3.01.4</t>
  </si>
  <si>
    <t>NameSuffix</t>
  </si>
  <si>
    <t>NameDataQuality</t>
  </si>
  <si>
    <t>3.02.1</t>
  </si>
  <si>
    <t>SSNDataQuality</t>
  </si>
  <si>
    <t>3.03.1</t>
  </si>
  <si>
    <t>DOB</t>
  </si>
  <si>
    <t>DOBDataQuality</t>
  </si>
  <si>
    <t>Sex</t>
  </si>
  <si>
    <t>3.04.1</t>
  </si>
  <si>
    <t>AmIndAKNative</t>
  </si>
  <si>
    <t>Asian</t>
  </si>
  <si>
    <t>BlackAfAmerican</t>
  </si>
  <si>
    <t>HispanicLatinao</t>
  </si>
  <si>
    <t>MidEastNAfrican</t>
  </si>
  <si>
    <t>NativeHIPacific</t>
  </si>
  <si>
    <t>White</t>
  </si>
  <si>
    <t>RaceNone</t>
  </si>
  <si>
    <t>3.04.2</t>
  </si>
  <si>
    <t>AdditionalRaceEthnicity</t>
  </si>
  <si>
    <t>3.07.1</t>
  </si>
  <si>
    <t>VeteranStatus</t>
  </si>
  <si>
    <t>V1.1</t>
  </si>
  <si>
    <t>YearEnteredService</t>
  </si>
  <si>
    <t>V1.2</t>
  </si>
  <si>
    <t>YearSeparated</t>
  </si>
  <si>
    <t>V1.3</t>
  </si>
  <si>
    <t>WorldWarII</t>
  </si>
  <si>
    <t>V1.4</t>
  </si>
  <si>
    <t>KoreanWar</t>
  </si>
  <si>
    <t>V1.5</t>
  </si>
  <si>
    <t>VietnamWar</t>
  </si>
  <si>
    <t>V1.6</t>
  </si>
  <si>
    <t>DesertStorm</t>
  </si>
  <si>
    <t>V1.7</t>
  </si>
  <si>
    <t>AfghanistanOEF</t>
  </si>
  <si>
    <t>V1.8</t>
  </si>
  <si>
    <t>IraqOIF</t>
  </si>
  <si>
    <t>V1.9</t>
  </si>
  <si>
    <t>IraqOND</t>
  </si>
  <si>
    <t>V1.10</t>
  </si>
  <si>
    <t>OtherTheater</t>
  </si>
  <si>
    <t>MilitaryBranch</t>
  </si>
  <si>
    <t>DischargeStatus</t>
  </si>
  <si>
    <t>5.06.1</t>
  </si>
  <si>
    <t>EnrollmentID</t>
  </si>
  <si>
    <t>5.08.1</t>
  </si>
  <si>
    <t>3.10.1</t>
  </si>
  <si>
    <t>EntryDate</t>
  </si>
  <si>
    <t>5.09.1</t>
  </si>
  <si>
    <t>HouseholdID</t>
  </si>
  <si>
    <t>RelationshipToHoH</t>
  </si>
  <si>
    <t xml:space="preserve">3.16.1 </t>
  </si>
  <si>
    <t>EnrollmentCoC</t>
  </si>
  <si>
    <t>3.917.1</t>
  </si>
  <si>
    <t>LivingSituation</t>
  </si>
  <si>
    <t>3.917.A</t>
  </si>
  <si>
    <t>RentalSubsidyType</t>
  </si>
  <si>
    <t>LengthOfStay</t>
  </si>
  <si>
    <t>3.917.2 A</t>
  </si>
  <si>
    <t>LOSUnderThreshold</t>
  </si>
  <si>
    <t>3.917.2 B</t>
  </si>
  <si>
    <t>3.917.2 C</t>
  </si>
  <si>
    <t>PreviousStreetESSH</t>
  </si>
  <si>
    <t>3.917.3</t>
  </si>
  <si>
    <t>DateToStreetESSH</t>
  </si>
  <si>
    <t>TimesHomelessPastThreeYears</t>
  </si>
  <si>
    <t>MonthsHomelessPastThreeYears</t>
  </si>
  <si>
    <t>3.08</t>
  </si>
  <si>
    <t>DisablingCondition</t>
  </si>
  <si>
    <t>4.13.1</t>
  </si>
  <si>
    <t>DateOfEngagement</t>
  </si>
  <si>
    <t>3.20.1</t>
  </si>
  <si>
    <t>MoveInDate</t>
  </si>
  <si>
    <t>P3.1</t>
  </si>
  <si>
    <t>DateOfPATHStatus</t>
  </si>
  <si>
    <t>P3.2</t>
  </si>
  <si>
    <t>ClientEnrolledInPATH</t>
  </si>
  <si>
    <t xml:space="preserve">P3.A </t>
  </si>
  <si>
    <t>ReasonNotEnrolled</t>
  </si>
  <si>
    <t>PercentAMI</t>
  </si>
  <si>
    <t>ReferralSource</t>
  </si>
  <si>
    <t>R1.A</t>
  </si>
  <si>
    <t>CountOutreachReferralApproaches</t>
  </si>
  <si>
    <t>R2.1</t>
  </si>
  <si>
    <t>DateOfBCPStatus</t>
  </si>
  <si>
    <t>R2.2</t>
  </si>
  <si>
    <t>EligibleForRHY</t>
  </si>
  <si>
    <t>ReasonNoServices</t>
  </si>
  <si>
    <t>R2.B</t>
  </si>
  <si>
    <t>RunawayYouth</t>
  </si>
  <si>
    <t>R11.1</t>
  </si>
  <si>
    <t>FormerWardChildWelfare</t>
  </si>
  <si>
    <t>ChildWelfareYears</t>
  </si>
  <si>
    <t>R11.B</t>
  </si>
  <si>
    <t>ChildWelfareMonths</t>
  </si>
  <si>
    <t>R12.1</t>
  </si>
  <si>
    <t>FormerWardJuvenileJustice</t>
  </si>
  <si>
    <t>R12.A</t>
  </si>
  <si>
    <t>JuvenileJusticeYears</t>
  </si>
  <si>
    <t>R12.B</t>
  </si>
  <si>
    <t>JuvenileJusticeMonths</t>
  </si>
  <si>
    <t>R13.9</t>
  </si>
  <si>
    <t>UnemploymentFam</t>
  </si>
  <si>
    <t>R13.11</t>
  </si>
  <si>
    <t>MentalHealthDisorderFam</t>
  </si>
  <si>
    <t>R13.15</t>
  </si>
  <si>
    <t>PhysicalDisabilityFam</t>
  </si>
  <si>
    <t>R13.21</t>
  </si>
  <si>
    <t>AlcoholDrugUseDisorderFam</t>
  </si>
  <si>
    <t>R13.22</t>
  </si>
  <si>
    <t>InsufficientIncome</t>
  </si>
  <si>
    <t>R13.24</t>
  </si>
  <si>
    <t>IncarceratedParent</t>
  </si>
  <si>
    <t xml:space="preserve">V6.1 </t>
  </si>
  <si>
    <t>VAMCStation</t>
  </si>
  <si>
    <t>V7.1</t>
  </si>
  <si>
    <t>TargetScreenReqd</t>
  </si>
  <si>
    <t>TimeToHousingLoss</t>
  </si>
  <si>
    <t>AnnualPercentAMI</t>
  </si>
  <si>
    <t>LiteralHomelessHistory</t>
  </si>
  <si>
    <t>V7.D</t>
  </si>
  <si>
    <t>ClientLeaseholder</t>
  </si>
  <si>
    <t>V7.E</t>
  </si>
  <si>
    <t>HOHLeaseholder</t>
  </si>
  <si>
    <t>V7.F</t>
  </si>
  <si>
    <t>SubsidyAtRisk</t>
  </si>
  <si>
    <t>EvictionHistory</t>
  </si>
  <si>
    <t>V7.H</t>
  </si>
  <si>
    <t>CriminalRecord</t>
  </si>
  <si>
    <t>IncarceratedAdult</t>
  </si>
  <si>
    <t>V7.J</t>
  </si>
  <si>
    <t>PrisonDischarge</t>
  </si>
  <si>
    <t>V7.K</t>
  </si>
  <si>
    <t>SexOffender</t>
  </si>
  <si>
    <t>V7.L</t>
  </si>
  <si>
    <t>DisabledHoH</t>
  </si>
  <si>
    <t>V7.M</t>
  </si>
  <si>
    <t>CurrentPregnant</t>
  </si>
  <si>
    <t>V7.N</t>
  </si>
  <si>
    <t>SingleParent</t>
  </si>
  <si>
    <t>DependentUnder6</t>
  </si>
  <si>
    <t>V7.P</t>
  </si>
  <si>
    <t>HH5Plus</t>
  </si>
  <si>
    <t>V7.Q</t>
  </si>
  <si>
    <t>CoCPrioritized</t>
  </si>
  <si>
    <t>V7.R</t>
  </si>
  <si>
    <t>HPScreeningScore</t>
  </si>
  <si>
    <t>V7.S</t>
  </si>
  <si>
    <t>ThresholdScore</t>
  </si>
  <si>
    <t>MentalHealthConsultation</t>
  </si>
  <si>
    <t>C4.1</t>
  </si>
  <si>
    <t>TranslationNeeded</t>
  </si>
  <si>
    <t>C4.A</t>
  </si>
  <si>
    <t>PreferredLanguage</t>
  </si>
  <si>
    <t>C4.B</t>
  </si>
  <si>
    <t>PreferredLanguageDifferent</t>
  </si>
  <si>
    <t>Exit</t>
  </si>
  <si>
    <t>3.11.1</t>
  </si>
  <si>
    <t>ExitDate</t>
  </si>
  <si>
    <t>Destination</t>
  </si>
  <si>
    <t>DestinationSubsidyType</t>
  </si>
  <si>
    <t>3.12.B</t>
  </si>
  <si>
    <t>OtherDestination</t>
  </si>
  <si>
    <t>W5.A</t>
  </si>
  <si>
    <t>SubsidyInformation</t>
  </si>
  <si>
    <t>W5.B</t>
  </si>
  <si>
    <t>ProjectCompletionStatus</t>
  </si>
  <si>
    <t>EarlyExitReason</t>
  </si>
  <si>
    <t>R15.1</t>
  </si>
  <si>
    <t>ExchangeForSex</t>
  </si>
  <si>
    <t>R15.A</t>
  </si>
  <si>
    <t>ExchangeForSexPastThreeMonths</t>
  </si>
  <si>
    <t>CountOfExchangeForSex</t>
  </si>
  <si>
    <t>R15.C</t>
  </si>
  <si>
    <t>AskedOrForcedToExchangeForSex</t>
  </si>
  <si>
    <t>R15.D</t>
  </si>
  <si>
    <t>AskedOrForcedToExchangeForSexPastThreeMonths</t>
  </si>
  <si>
    <t>R16.1</t>
  </si>
  <si>
    <t>WorkplaceViolenceThreats</t>
  </si>
  <si>
    <t>R16.2</t>
  </si>
  <si>
    <t>WorkplacePromiseDifference</t>
  </si>
  <si>
    <t>R16.A</t>
  </si>
  <si>
    <t>CoercedToContinueWork</t>
  </si>
  <si>
    <t>R16.B</t>
  </si>
  <si>
    <t>LaborExploitPastThreeMonths</t>
  </si>
  <si>
    <t>R18.1</t>
  </si>
  <si>
    <t>CounselingReceived</t>
  </si>
  <si>
    <t>R18.A</t>
  </si>
  <si>
    <t>IndividualCounseling</t>
  </si>
  <si>
    <t>FamilyCounseling</t>
  </si>
  <si>
    <t>GroupCounseling</t>
  </si>
  <si>
    <t xml:space="preserve">R18.B </t>
  </si>
  <si>
    <t>SessionCountAtExit</t>
  </si>
  <si>
    <t>R18.3</t>
  </si>
  <si>
    <t>PostExitCounselingPlan</t>
  </si>
  <si>
    <t>R18.2</t>
  </si>
  <si>
    <t>SessionsInPlan</t>
  </si>
  <si>
    <t>R19.1</t>
  </si>
  <si>
    <t>DestinationSafeClient</t>
  </si>
  <si>
    <t>R19.2</t>
  </si>
  <si>
    <t>DestinationSafeWorker</t>
  </si>
  <si>
    <t>R19.3</t>
  </si>
  <si>
    <t>PosAdultConnections</t>
  </si>
  <si>
    <t>R19.4</t>
  </si>
  <si>
    <t>PosPeerConnections</t>
  </si>
  <si>
    <t>R19.5</t>
  </si>
  <si>
    <t>PosCommunityConnections</t>
  </si>
  <si>
    <t xml:space="preserve">R20.1 </t>
  </si>
  <si>
    <t>AftercareDate</t>
  </si>
  <si>
    <t>AftercareProvided</t>
  </si>
  <si>
    <t>R20.A</t>
  </si>
  <si>
    <t>EmailSocialMedia</t>
  </si>
  <si>
    <t>Telephone</t>
  </si>
  <si>
    <t>InPersonIndividual</t>
  </si>
  <si>
    <t>InPersonGroup</t>
  </si>
  <si>
    <t>CMExitReason</t>
  </si>
  <si>
    <t>IncomeBenefits</t>
  </si>
  <si>
    <t>4.02.2</t>
  </si>
  <si>
    <t>IncomeFromAnySource</t>
  </si>
  <si>
    <t>4.02.18</t>
  </si>
  <si>
    <t>TotalMonthlyIncome</t>
  </si>
  <si>
    <t>4.02.3</t>
  </si>
  <si>
    <t>Earned</t>
  </si>
  <si>
    <t>4.02.A</t>
  </si>
  <si>
    <t>EarnedAmount</t>
  </si>
  <si>
    <t>4.02.4</t>
  </si>
  <si>
    <t>Unemployment</t>
  </si>
  <si>
    <t>4.02.B</t>
  </si>
  <si>
    <t>UnemploymentAmount</t>
  </si>
  <si>
    <t>4.02.5</t>
  </si>
  <si>
    <t>SSI</t>
  </si>
  <si>
    <t>4.02.C</t>
  </si>
  <si>
    <t>SSIAmount</t>
  </si>
  <si>
    <t>4.02.6</t>
  </si>
  <si>
    <t>SSDI</t>
  </si>
  <si>
    <t>4.02.D</t>
  </si>
  <si>
    <t>SSDIAmount</t>
  </si>
  <si>
    <t>4.02.7</t>
  </si>
  <si>
    <t>VADisabilityService</t>
  </si>
  <si>
    <t>4.02.E</t>
  </si>
  <si>
    <t>VADisabilityServiceAmount</t>
  </si>
  <si>
    <t>4.02.8</t>
  </si>
  <si>
    <t>VADisabilityNonService</t>
  </si>
  <si>
    <t>4.02.F</t>
  </si>
  <si>
    <t>VADisabilityNonServiceAmount</t>
  </si>
  <si>
    <t>4.02.9</t>
  </si>
  <si>
    <t>PrivateDisability</t>
  </si>
  <si>
    <t>4.02.G</t>
  </si>
  <si>
    <t>PrivateDisabilityAmount</t>
  </si>
  <si>
    <t>4.02.10</t>
  </si>
  <si>
    <t>WorkersComp</t>
  </si>
  <si>
    <t>4.02.H</t>
  </si>
  <si>
    <t>WorkersCompAmount</t>
  </si>
  <si>
    <t>4.02.11</t>
  </si>
  <si>
    <t>TANF</t>
  </si>
  <si>
    <t>4.02.I</t>
  </si>
  <si>
    <t>TANFAmount</t>
  </si>
  <si>
    <t>4.02.12</t>
  </si>
  <si>
    <t>GA</t>
  </si>
  <si>
    <t>4.02.J</t>
  </si>
  <si>
    <t>GAAmount</t>
  </si>
  <si>
    <t>4.02.13</t>
  </si>
  <si>
    <t>SocSecRetirement</t>
  </si>
  <si>
    <t>4.02.K</t>
  </si>
  <si>
    <t>SocSecRetirementAmount</t>
  </si>
  <si>
    <t>4.02.14</t>
  </si>
  <si>
    <t>Pension</t>
  </si>
  <si>
    <t>4.02.L</t>
  </si>
  <si>
    <t>PensionAmount</t>
  </si>
  <si>
    <t>4.02.15</t>
  </si>
  <si>
    <t>ChildSupport</t>
  </si>
  <si>
    <t>4.02.M</t>
  </si>
  <si>
    <t>ChildSupportAmount</t>
  </si>
  <si>
    <t>4.02.16</t>
  </si>
  <si>
    <t>Alimony</t>
  </si>
  <si>
    <t>4.02.N</t>
  </si>
  <si>
    <t>AlimonyAmount</t>
  </si>
  <si>
    <t>4.02.17</t>
  </si>
  <si>
    <t>OtherIncomeSource</t>
  </si>
  <si>
    <t>4.02.O</t>
  </si>
  <si>
    <t>OtherIncomeAmount</t>
  </si>
  <si>
    <t>4.02.P</t>
  </si>
  <si>
    <t>OtherIncomeSourceIdentify</t>
  </si>
  <si>
    <t>4.03.2</t>
  </si>
  <si>
    <t>BenefitsFromAnySource</t>
  </si>
  <si>
    <t>4.03.3</t>
  </si>
  <si>
    <t>SNAP</t>
  </si>
  <si>
    <t>4.03.4</t>
  </si>
  <si>
    <t>WIC</t>
  </si>
  <si>
    <t>4.03.5</t>
  </si>
  <si>
    <t>TANFChildCare</t>
  </si>
  <si>
    <t>4.03.6</t>
  </si>
  <si>
    <t>TANFTransportation</t>
  </si>
  <si>
    <t>4.03.7</t>
  </si>
  <si>
    <t>OtherTANF</t>
  </si>
  <si>
    <t>4.03.8</t>
  </si>
  <si>
    <t>OtherBenefitsSource</t>
  </si>
  <si>
    <t>4.03.A</t>
  </si>
  <si>
    <t>OtherBenefitsSourceIdentify</t>
  </si>
  <si>
    <t>4.04.2</t>
  </si>
  <si>
    <t>InsuranceFromAnySource</t>
  </si>
  <si>
    <t>4.04.3</t>
  </si>
  <si>
    <t>Medicaid</t>
  </si>
  <si>
    <t>4.04.3A</t>
  </si>
  <si>
    <t>NoMedicaidReason</t>
  </si>
  <si>
    <t>4.04.4</t>
  </si>
  <si>
    <t>Medicare</t>
  </si>
  <si>
    <t>4.04.4A</t>
  </si>
  <si>
    <t>NoMedicareReason</t>
  </si>
  <si>
    <t>4.04.5</t>
  </si>
  <si>
    <t>SCHIP</t>
  </si>
  <si>
    <t>4.04.5A</t>
  </si>
  <si>
    <t>NoSCHIPReason</t>
  </si>
  <si>
    <t>4.04.6</t>
  </si>
  <si>
    <t>VHAServices</t>
  </si>
  <si>
    <t>4.04.6A</t>
  </si>
  <si>
    <t>NoVHAReason</t>
  </si>
  <si>
    <t>4.04.7</t>
  </si>
  <si>
    <t>EmployerProvided</t>
  </si>
  <si>
    <t>4.04.7A</t>
  </si>
  <si>
    <t>NoEmployerProvidedReason</t>
  </si>
  <si>
    <t>4.04.8</t>
  </si>
  <si>
    <t>COBRA</t>
  </si>
  <si>
    <t>4.04.8A</t>
  </si>
  <si>
    <t>NoCOBRAReason</t>
  </si>
  <si>
    <t>4.04.9</t>
  </si>
  <si>
    <t>PrivatePay</t>
  </si>
  <si>
    <t>4.04.9A</t>
  </si>
  <si>
    <t>NoPrivatePayReason</t>
  </si>
  <si>
    <t>4.04.10</t>
  </si>
  <si>
    <t>StateHealthIns</t>
  </si>
  <si>
    <t>4.04.10A</t>
  </si>
  <si>
    <t>NoStateHealthInsReason</t>
  </si>
  <si>
    <t>4.04.11</t>
  </si>
  <si>
    <t>IndianHealthServices</t>
  </si>
  <si>
    <t>4.04.11A</t>
  </si>
  <si>
    <t>NoIndianHealthServicesReason</t>
  </si>
  <si>
    <t>4.04.12</t>
  </si>
  <si>
    <t>OtherInsurance</t>
  </si>
  <si>
    <t>4.04.12A</t>
  </si>
  <si>
    <t>OtherInsuranceIdentify</t>
  </si>
  <si>
    <t>W3.3</t>
  </si>
  <si>
    <t>ADAP</t>
  </si>
  <si>
    <t>W3.B</t>
  </si>
  <si>
    <t>NoADAPReason</t>
  </si>
  <si>
    <t>W3.4</t>
  </si>
  <si>
    <t>RyanWhiteMedDent</t>
  </si>
  <si>
    <t>W3.C</t>
  </si>
  <si>
    <t>NoRyanWhiteReason</t>
  </si>
  <si>
    <t>P4.1</t>
  </si>
  <si>
    <t>ConnectionWithSOAR</t>
  </si>
  <si>
    <t>HealthAndDV</t>
  </si>
  <si>
    <t>4.11.1</t>
  </si>
  <si>
    <t>InformationDate</t>
  </si>
  <si>
    <t>4.11.2</t>
  </si>
  <si>
    <t>DomesticViolenceSurvivor</t>
  </si>
  <si>
    <t>WhenOccurred</t>
  </si>
  <si>
    <t>4.11.B</t>
  </si>
  <si>
    <t>CurrentlyFleeing</t>
  </si>
  <si>
    <t>GeneralHealthStatus</t>
  </si>
  <si>
    <t>R8.1</t>
  </si>
  <si>
    <t>DentalHealthStatus</t>
  </si>
  <si>
    <t>R9.1</t>
  </si>
  <si>
    <t>MentalHealthStatus</t>
  </si>
  <si>
    <t>R10.1</t>
  </si>
  <si>
    <t>PregnancyStatus</t>
  </si>
  <si>
    <t>R10.A</t>
  </si>
  <si>
    <t>DueDate</t>
  </si>
  <si>
    <t>EmploymentEducation</t>
  </si>
  <si>
    <t>R6.1</t>
  </si>
  <si>
    <t>LastGradeCompleted</t>
  </si>
  <si>
    <t>SchoolStatus</t>
  </si>
  <si>
    <t>R6.2</t>
  </si>
  <si>
    <t>Employed</t>
  </si>
  <si>
    <t>EmploymentType</t>
  </si>
  <si>
    <t>NotEmployedReason</t>
  </si>
  <si>
    <t>Disabilities</t>
  </si>
  <si>
    <t xml:space="preserve">W4.2 </t>
  </si>
  <si>
    <t>TCellCountAvailable</t>
  </si>
  <si>
    <t>W4.A</t>
  </si>
  <si>
    <t>TCellCount</t>
  </si>
  <si>
    <t>TCellSource</t>
  </si>
  <si>
    <t xml:space="preserve">W4.3 </t>
  </si>
  <si>
    <t>ViralLoadAvailable</t>
  </si>
  <si>
    <t>W4.C</t>
  </si>
  <si>
    <t>ViralLoad</t>
  </si>
  <si>
    <t>W4.D</t>
  </si>
  <si>
    <t>ViralLoadSource</t>
  </si>
  <si>
    <t xml:space="preserve">W6.2 </t>
  </si>
  <si>
    <t>AntiRetroviral</t>
  </si>
  <si>
    <t>Services</t>
  </si>
  <si>
    <t>V2.D</t>
  </si>
  <si>
    <t>OtherTypeProvided</t>
  </si>
  <si>
    <t>V8.A</t>
  </si>
  <si>
    <t xml:space="preserve">C2.A </t>
  </si>
  <si>
    <t>MovingOnOtherType</t>
  </si>
  <si>
    <t>SubTypeProvided</t>
  </si>
  <si>
    <t>W2</t>
  </si>
  <si>
    <t>FAAmount</t>
  </si>
  <si>
    <t>M</t>
  </si>
  <si>
    <t>V3.2</t>
  </si>
  <si>
    <t>V3.1</t>
  </si>
  <si>
    <t>FAStartDate</t>
  </si>
  <si>
    <t>FAEndDate</t>
  </si>
  <si>
    <t>P2</t>
  </si>
  <si>
    <t>ReferralOutcome</t>
  </si>
  <si>
    <t>FW.5</t>
  </si>
  <si>
    <t>ExportID</t>
  </si>
  <si>
    <t>CurrentLivingSituation</t>
  </si>
  <si>
    <t>4.12.1</t>
  </si>
  <si>
    <t>4.12.2</t>
  </si>
  <si>
    <t>4.12.A</t>
  </si>
  <si>
    <t>CLSSubsidyType</t>
  </si>
  <si>
    <t>4.12.3</t>
  </si>
  <si>
    <t>VerifiedBy</t>
  </si>
  <si>
    <t xml:space="preserve">4.12.B </t>
  </si>
  <si>
    <t>LeaveSituation14Days</t>
  </si>
  <si>
    <t xml:space="preserve">4.12.C </t>
  </si>
  <si>
    <t>SubsequentResidence</t>
  </si>
  <si>
    <t xml:space="preserve">4.12.D </t>
  </si>
  <si>
    <t>ResourcesToObtain</t>
  </si>
  <si>
    <t xml:space="preserve">4.12.E </t>
  </si>
  <si>
    <t>LeaseOwn60Day</t>
  </si>
  <si>
    <t xml:space="preserve">4.12.F </t>
  </si>
  <si>
    <t>MovedTwoOrMore</t>
  </si>
  <si>
    <t>4.12.4</t>
  </si>
  <si>
    <t>LocationDetails</t>
  </si>
  <si>
    <t>Assessment</t>
  </si>
  <si>
    <t>4.19.1</t>
  </si>
  <si>
    <t>AssessmentDate</t>
  </si>
  <si>
    <t>4.19.2</t>
  </si>
  <si>
    <t>AssessmentLocation</t>
  </si>
  <si>
    <t>AssessmentType</t>
  </si>
  <si>
    <t>AssessmentLevel</t>
  </si>
  <si>
    <t>PrioritizationStatus</t>
  </si>
  <si>
    <t>AssessmentQuestions</t>
  </si>
  <si>
    <t xml:space="preserve">4.19.5 </t>
  </si>
  <si>
    <t>AssessmentQuestion</t>
  </si>
  <si>
    <t>4.19.A</t>
  </si>
  <si>
    <t>AssessmentAnswer</t>
  </si>
  <si>
    <t>AssessmentResults</t>
  </si>
  <si>
    <t xml:space="preserve">4.19.6 </t>
  </si>
  <si>
    <t>AssessmentResultType</t>
  </si>
  <si>
    <t>4.19.B</t>
  </si>
  <si>
    <t>AssessmentResult</t>
  </si>
  <si>
    <t>Event</t>
  </si>
  <si>
    <t>4.20.1</t>
  </si>
  <si>
    <t>EventDate</t>
  </si>
  <si>
    <t>4.20.A</t>
  </si>
  <si>
    <t>ProbSolDivRRResult</t>
  </si>
  <si>
    <t>4.20.B</t>
  </si>
  <si>
    <t>ReferralCaseManageAfter</t>
  </si>
  <si>
    <t>4.20.C</t>
  </si>
  <si>
    <t>LocationCrisisOrPHHousing</t>
  </si>
  <si>
    <t>ReferralResult</t>
  </si>
  <si>
    <t>4.20.E</t>
  </si>
  <si>
    <t>ResultDate</t>
  </si>
  <si>
    <t>YouthEducationStatus</t>
  </si>
  <si>
    <t>C3.1</t>
  </si>
  <si>
    <t>CurrentSchoolAttend</t>
  </si>
  <si>
    <t>MostRecentEdStatus</t>
  </si>
  <si>
    <t>CurrentEdStatus</t>
  </si>
  <si>
    <t>DataElement</t>
  </si>
  <si>
    <t>CSVTable</t>
  </si>
  <si>
    <t>S</t>
  </si>
  <si>
    <t>FieldNumber</t>
  </si>
  <si>
    <t>2.01</t>
  </si>
  <si>
    <t>1 </t>
  </si>
  <si>
    <t>2 </t>
  </si>
  <si>
    <t>2.02</t>
  </si>
  <si>
    <t>5</t>
  </si>
  <si>
    <t>6</t>
  </si>
  <si>
    <t>A</t>
  </si>
  <si>
    <t>B</t>
  </si>
  <si>
    <t>7</t>
  </si>
  <si>
    <t>2.06</t>
  </si>
  <si>
    <t>2.03</t>
  </si>
  <si>
    <t>2.07</t>
  </si>
  <si>
    <t>15</t>
  </si>
  <si>
    <t>14</t>
  </si>
  <si>
    <t>11</t>
  </si>
  <si>
    <t>12</t>
  </si>
  <si>
    <t>13</t>
  </si>
  <si>
    <t>C</t>
  </si>
  <si>
    <t>2.08</t>
  </si>
  <si>
    <t>2.09</t>
  </si>
  <si>
    <t>3.01</t>
  </si>
  <si>
    <t>3.02</t>
  </si>
  <si>
    <t>3.03</t>
  </si>
  <si>
    <t>3.04</t>
  </si>
  <si>
    <t>3.07</t>
  </si>
  <si>
    <t>V1</t>
  </si>
  <si>
    <t>5.06</t>
  </si>
  <si>
    <t>5.08</t>
  </si>
  <si>
    <t xml:space="preserve">1 </t>
  </si>
  <si>
    <t>3.10</t>
  </si>
  <si>
    <t>5.09</t>
  </si>
  <si>
    <t>3.15</t>
  </si>
  <si>
    <t>3.16</t>
  </si>
  <si>
    <t>3.917</t>
  </si>
  <si>
    <t>2 A</t>
  </si>
  <si>
    <t>2 B</t>
  </si>
  <si>
    <t>2 C</t>
  </si>
  <si>
    <t>4.13</t>
  </si>
  <si>
    <t>3.20</t>
  </si>
  <si>
    <t>P3</t>
  </si>
  <si>
    <t xml:space="preserve">A </t>
  </si>
  <si>
    <t>V4</t>
  </si>
  <si>
    <t>R1</t>
  </si>
  <si>
    <t>R2</t>
  </si>
  <si>
    <t>R11</t>
  </si>
  <si>
    <t>R12</t>
  </si>
  <si>
    <t>R13</t>
  </si>
  <si>
    <t>21</t>
  </si>
  <si>
    <t>22</t>
  </si>
  <si>
    <t>24</t>
  </si>
  <si>
    <t>V6</t>
  </si>
  <si>
    <t>V7</t>
  </si>
  <si>
    <t>E</t>
  </si>
  <si>
    <t>F</t>
  </si>
  <si>
    <t>G</t>
  </si>
  <si>
    <t>H</t>
  </si>
  <si>
    <t>J</t>
  </si>
  <si>
    <t>K</t>
  </si>
  <si>
    <t>L</t>
  </si>
  <si>
    <t>N</t>
  </si>
  <si>
    <t>O</t>
  </si>
  <si>
    <t>P</t>
  </si>
  <si>
    <t>Q</t>
  </si>
  <si>
    <t>R</t>
  </si>
  <si>
    <t>C4</t>
  </si>
  <si>
    <t>3.11</t>
  </si>
  <si>
    <t>3.12</t>
  </si>
  <si>
    <t>W5</t>
  </si>
  <si>
    <t>R17</t>
  </si>
  <si>
    <t>R15</t>
  </si>
  <si>
    <t>R16</t>
  </si>
  <si>
    <t>R18</t>
  </si>
  <si>
    <t xml:space="preserve">B </t>
  </si>
  <si>
    <t>R19</t>
  </si>
  <si>
    <t>R20</t>
  </si>
  <si>
    <t>V9</t>
  </si>
  <si>
    <t>4.02</t>
  </si>
  <si>
    <t>18</t>
  </si>
  <si>
    <t>16</t>
  </si>
  <si>
    <t>17</t>
  </si>
  <si>
    <t>4.03</t>
  </si>
  <si>
    <t>4.04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</si>
  <si>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</si>
  <si>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</si>
  <si>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</si>
  <si>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</si>
  <si>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</si>
  <si>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</si>
  <si>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</si>
  <si>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</si>
  <si>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</si>
  <si>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</si>
  <si>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P4</t>
  </si>
  <si>
    <t>4.11</t>
  </si>
  <si>
    <t>R7</t>
  </si>
  <si>
    <t>R8</t>
  </si>
  <si>
    <t>R9</t>
  </si>
  <si>
    <t>R10</t>
  </si>
  <si>
    <t>R6</t>
  </si>
  <si>
    <t>R4</t>
  </si>
  <si>
    <t>R5</t>
  </si>
  <si>
    <t>W4</t>
  </si>
  <si>
    <t xml:space="preserve">2 </t>
  </si>
  <si>
    <t xml:space="preserve">3 </t>
  </si>
  <si>
    <t>W6</t>
  </si>
  <si>
    <t>V2</t>
  </si>
  <si>
    <t>V8</t>
  </si>
  <si>
    <t>C2</t>
  </si>
  <si>
    <t>V3</t>
  </si>
  <si>
    <t>FW</t>
  </si>
  <si>
    <t>4.12</t>
  </si>
  <si>
    <t xml:space="preserve">C </t>
  </si>
  <si>
    <t xml:space="preserve">D </t>
  </si>
  <si>
    <t xml:space="preserve">E </t>
  </si>
  <si>
    <t xml:space="preserve">F </t>
  </si>
  <si>
    <t>4.19</t>
  </si>
  <si>
    <t xml:space="preserve">5 </t>
  </si>
  <si>
    <t xml:space="preserve">6 </t>
  </si>
  <si>
    <t>4.20</t>
  </si>
  <si>
    <t>C3</t>
  </si>
  <si>
    <t>Geocode</t>
  </si>
  <si>
    <t>Income</t>
  </si>
  <si>
    <t>Benefit</t>
  </si>
  <si>
    <t>HealthInsurance</t>
  </si>
  <si>
    <t>Service</t>
  </si>
  <si>
    <t>CEAssessment</t>
  </si>
  <si>
    <t>CEQuestion</t>
  </si>
  <si>
    <t>CEResult</t>
  </si>
  <si>
    <t>CEEvent</t>
  </si>
  <si>
    <t>FundSource</t>
  </si>
  <si>
    <t>Geography</t>
  </si>
  <si>
    <t>EnrollAssessment</t>
  </si>
  <si>
    <t>Household</t>
  </si>
  <si>
    <t>Disability</t>
  </si>
  <si>
    <t>SSN</t>
  </si>
  <si>
    <t>ScenarioName</t>
  </si>
  <si>
    <t>Method</t>
  </si>
  <si>
    <t>ClientSearch</t>
  </si>
  <si>
    <t>Get</t>
  </si>
  <si>
    <t>dataExchangeOntologyName</t>
  </si>
  <si>
    <t>ClientSearchRequest</t>
  </si>
  <si>
    <t>ClientSearchResponse</t>
  </si>
  <si>
    <t>x</t>
  </si>
  <si>
    <t>NewClientRequest</t>
  </si>
  <si>
    <t>NewClientResponse</t>
  </si>
  <si>
    <t>NewClient</t>
  </si>
  <si>
    <t>Post</t>
  </si>
  <si>
    <t>UpdateClient</t>
  </si>
  <si>
    <t>Summary</t>
  </si>
  <si>
    <t>Create a new client record</t>
  </si>
  <si>
    <t>Update an existing client record</t>
  </si>
  <si>
    <t>Patch</t>
  </si>
  <si>
    <t>UpdateClientRequst</t>
  </si>
  <si>
    <t>UpdateClientResponse</t>
  </si>
  <si>
    <t>ClientSearchProject</t>
  </si>
  <si>
    <t>Get all clients associated with a specific project</t>
  </si>
  <si>
    <t>ClientSearchProjectRequest</t>
  </si>
  <si>
    <t>ClientSearchProjectResponse</t>
  </si>
  <si>
    <t>ClientEnrollments</t>
  </si>
  <si>
    <t>Get all enrollments for a specific client</t>
  </si>
  <si>
    <t>ClientEnrollmentsRequest</t>
  </si>
  <si>
    <t>ClientEnrollmentsResponse</t>
  </si>
  <si>
    <t>ProjectSearchTypeFunder</t>
  </si>
  <si>
    <t>Get projects by funder and project type</t>
  </si>
  <si>
    <t>ProjectSearchTypeFunderResponse</t>
  </si>
  <si>
    <t>ProjectSearchTypeFunderRequest</t>
  </si>
  <si>
    <t>ClientSearchProjectTypeFunder</t>
  </si>
  <si>
    <t>Get clients enrolled in projects filtered by funder and project type</t>
  </si>
  <si>
    <t>ClientSearchProjectTypeFunderRequest</t>
  </si>
  <si>
    <t>ClientSearchProjectTypeFunderResponse</t>
  </si>
  <si>
    <t xml:space="preserve"> </t>
  </si>
  <si>
    <t>ClientAllData</t>
  </si>
  <si>
    <t>ClientAllDataRequest</t>
  </si>
  <si>
    <t>ClientAllDataResponse</t>
  </si>
  <si>
    <t>Label</t>
  </si>
  <si>
    <t>Search for clients by identifying information or PersonalID</t>
  </si>
  <si>
    <t>Comprehensive return of all a person's services and information</t>
  </si>
  <si>
    <t>Update Client</t>
  </si>
  <si>
    <t>Create Client</t>
  </si>
  <si>
    <t>Search for Client</t>
  </si>
  <si>
    <t>Clients in a Project</t>
  </si>
  <si>
    <t>Retrieve Client Enrollments</t>
  </si>
  <si>
    <t>Search Projects</t>
  </si>
  <si>
    <t>Search Clients by Project Type or Funder Type</t>
  </si>
  <si>
    <t>Client Full HMIS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</si>
</sst>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0" fontId="2" fillId="0" borderId="1" xfId="0" applyFont="1" applyBorder="1"/>
  </cellXfs>
  <cellStyles count="2">
    <cellStyle name="Normal" xfId="0" builtinId="0"/>
    <cellStyle name="Normal 2" xfId="1" xr:uid="{C727F688-2419-4136-930E-D491A703F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5B36-9AA8-4032-BE14-A9F13056151B}">
  <dimension ref="A1:D9"/>
  <sheetViews>
    <sheetView tabSelected="1" workbookViewId="0">
      <selection activeCell="D16" sqref="D16"/>
    </sheetView>
  </sheetViews>
  <sheetFormatPr defaultRowHeight="15" x14ac:dyDescent="0.25"/>
  <cols>
    <col min="1" max="1" width="28.85546875" bestFit="1" customWidth="1"/>
    <col min="3" max="3" width="41.140625" bestFit="1" customWidth="1"/>
    <col min="4" max="4" width="66" bestFit="1" customWidth="1"/>
    <col min="5" max="5" width="17.85546875" bestFit="1" customWidth="1"/>
  </cols>
  <sheetData>
    <row r="1" spans="1:4" x14ac:dyDescent="0.25">
      <c r="A1" s="3" t="s">
        <v>787</v>
      </c>
      <c r="B1" s="3" t="s">
        <v>788</v>
      </c>
      <c r="C1" s="3" t="s">
        <v>826</v>
      </c>
      <c r="D1" s="3" t="s">
        <v>800</v>
      </c>
    </row>
    <row r="2" spans="1:4" x14ac:dyDescent="0.25">
      <c r="A2" t="s">
        <v>789</v>
      </c>
      <c r="B2" t="s">
        <v>790</v>
      </c>
      <c r="C2" t="s">
        <v>831</v>
      </c>
      <c r="D2" t="s">
        <v>827</v>
      </c>
    </row>
    <row r="3" spans="1:4" x14ac:dyDescent="0.25">
      <c r="A3" t="s">
        <v>797</v>
      </c>
      <c r="B3" t="s">
        <v>798</v>
      </c>
      <c r="C3" t="s">
        <v>830</v>
      </c>
      <c r="D3" t="s">
        <v>801</v>
      </c>
    </row>
    <row r="4" spans="1:4" x14ac:dyDescent="0.25">
      <c r="A4" t="s">
        <v>799</v>
      </c>
      <c r="B4" t="s">
        <v>803</v>
      </c>
      <c r="C4" t="s">
        <v>829</v>
      </c>
      <c r="D4" t="s">
        <v>802</v>
      </c>
    </row>
    <row r="5" spans="1:4" x14ac:dyDescent="0.25">
      <c r="A5" t="s">
        <v>806</v>
      </c>
      <c r="B5" t="s">
        <v>790</v>
      </c>
      <c r="C5" t="s">
        <v>832</v>
      </c>
      <c r="D5" t="s">
        <v>807</v>
      </c>
    </row>
    <row r="6" spans="1:4" x14ac:dyDescent="0.25">
      <c r="A6" t="s">
        <v>810</v>
      </c>
      <c r="B6" t="s">
        <v>790</v>
      </c>
      <c r="C6" t="s">
        <v>833</v>
      </c>
      <c r="D6" t="s">
        <v>811</v>
      </c>
    </row>
    <row r="7" spans="1:4" x14ac:dyDescent="0.25">
      <c r="A7" t="s">
        <v>814</v>
      </c>
      <c r="B7" t="s">
        <v>790</v>
      </c>
      <c r="C7" t="s">
        <v>834</v>
      </c>
      <c r="D7" t="s">
        <v>815</v>
      </c>
    </row>
    <row r="8" spans="1:4" x14ac:dyDescent="0.25">
      <c r="A8" t="s">
        <v>818</v>
      </c>
      <c r="B8" t="s">
        <v>790</v>
      </c>
      <c r="C8" t="s">
        <v>835</v>
      </c>
      <c r="D8" t="s">
        <v>819</v>
      </c>
    </row>
    <row r="9" spans="1:4" x14ac:dyDescent="0.25">
      <c r="A9" t="s">
        <v>823</v>
      </c>
      <c r="B9" t="s">
        <v>790</v>
      </c>
      <c r="C9" t="s">
        <v>836</v>
      </c>
      <c r="D9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3417E-1039-42D0-B4AC-F085DFD1C3E4}">
  <dimension ref="A1:W324"/>
  <sheetViews>
    <sheetView topLeftCell="B1" workbookViewId="0">
      <selection activeCell="B6" sqref="B6"/>
    </sheetView>
  </sheetViews>
  <sheetFormatPr defaultRowHeight="15" x14ac:dyDescent="0.25"/>
  <cols>
    <col min="1" max="1" width="31" customWidth="1"/>
    <col min="2" max="2" width="41.5703125" customWidth="1"/>
    <col min="3" max="3" width="8.5703125" bestFit="1" customWidth="1"/>
    <col min="4" max="4" width="14.42578125" style="1" bestFit="1" customWidth="1"/>
    <col min="5" max="5" width="14.7109375" style="1" bestFit="1" customWidth="1"/>
    <col min="6" max="6" width="43.42578125" bestFit="1" customWidth="1"/>
    <col min="7" max="7" width="50.5703125" bestFit="1" customWidth="1"/>
    <col min="8" max="8" width="19.28515625" customWidth="1"/>
    <col min="9" max="9" width="20.85546875" customWidth="1"/>
    <col min="10" max="10" width="17" customWidth="1"/>
    <col min="11" max="11" width="18.7109375" customWidth="1"/>
    <col min="12" max="12" width="18.5703125" customWidth="1"/>
    <col min="13" max="13" width="21.140625" customWidth="1"/>
    <col min="14" max="15" width="25.7109375" customWidth="1"/>
    <col min="16" max="16" width="24" customWidth="1"/>
    <col min="17" max="17" width="25.7109375" customWidth="1"/>
    <col min="18" max="18" width="30.7109375" customWidth="1"/>
    <col min="19" max="19" width="32.5703125" customWidth="1"/>
    <col min="20" max="20" width="36.140625" customWidth="1"/>
    <col min="21" max="21" width="37.7109375" customWidth="1"/>
  </cols>
  <sheetData>
    <row r="1" spans="1:23" x14ac:dyDescent="0.25">
      <c r="A1" t="s">
        <v>3</v>
      </c>
      <c r="B1" t="s">
        <v>649</v>
      </c>
      <c r="C1" t="s">
        <v>71</v>
      </c>
      <c r="D1" s="1" t="s">
        <v>648</v>
      </c>
      <c r="E1" s="1" t="s">
        <v>651</v>
      </c>
      <c r="F1" t="s">
        <v>72</v>
      </c>
      <c r="G1" s="2" t="s">
        <v>791</v>
      </c>
      <c r="H1" s="2" t="s">
        <v>792</v>
      </c>
      <c r="I1" s="2" t="s">
        <v>793</v>
      </c>
      <c r="J1" t="s">
        <v>795</v>
      </c>
      <c r="K1" t="s">
        <v>796</v>
      </c>
      <c r="L1" s="2" t="s">
        <v>804</v>
      </c>
      <c r="M1" s="2" t="s">
        <v>805</v>
      </c>
      <c r="N1" s="2" t="s">
        <v>808</v>
      </c>
      <c r="O1" s="2" t="s">
        <v>809</v>
      </c>
      <c r="P1" s="2" t="s">
        <v>812</v>
      </c>
      <c r="Q1" s="2" t="s">
        <v>813</v>
      </c>
      <c r="R1" s="2" t="s">
        <v>817</v>
      </c>
      <c r="S1" s="2" t="s">
        <v>816</v>
      </c>
      <c r="T1" s="2" t="s">
        <v>820</v>
      </c>
      <c r="U1" s="2" t="s">
        <v>821</v>
      </c>
      <c r="V1" s="2" t="s">
        <v>824</v>
      </c>
      <c r="W1" s="2" t="s">
        <v>825</v>
      </c>
    </row>
    <row r="2" spans="1:23" x14ac:dyDescent="0.25">
      <c r="A2" t="s">
        <v>774</v>
      </c>
      <c r="B2" t="s">
        <v>402</v>
      </c>
      <c r="C2" t="s">
        <v>469</v>
      </c>
      <c r="D2" s="1" t="s">
        <v>732</v>
      </c>
      <c r="E2" s="1" t="s">
        <v>67</v>
      </c>
      <c r="F2" t="s">
        <v>470</v>
      </c>
      <c r="G2" t="str">
        <f>F2</f>
        <v>BenefitsFromAnySource</v>
      </c>
      <c r="W2" t="s">
        <v>794</v>
      </c>
    </row>
    <row r="3" spans="1:23" x14ac:dyDescent="0.25">
      <c r="A3" t="s">
        <v>774</v>
      </c>
      <c r="B3" t="s">
        <v>402</v>
      </c>
      <c r="C3" t="s">
        <v>471</v>
      </c>
      <c r="D3" s="1" t="s">
        <v>732</v>
      </c>
      <c r="E3" s="1" t="s">
        <v>68</v>
      </c>
      <c r="F3" t="s">
        <v>472</v>
      </c>
      <c r="G3" t="str">
        <f t="shared" ref="G3:G66" si="0">F3</f>
        <v>SNAP</v>
      </c>
      <c r="W3" t="s">
        <v>794</v>
      </c>
    </row>
    <row r="4" spans="1:23" x14ac:dyDescent="0.25">
      <c r="A4" t="s">
        <v>774</v>
      </c>
      <c r="B4" t="s">
        <v>402</v>
      </c>
      <c r="C4" t="s">
        <v>473</v>
      </c>
      <c r="D4" s="1" t="s">
        <v>732</v>
      </c>
      <c r="E4" s="1" t="s">
        <v>69</v>
      </c>
      <c r="F4" t="s">
        <v>474</v>
      </c>
      <c r="G4" t="str">
        <f t="shared" si="0"/>
        <v>WIC</v>
      </c>
      <c r="W4" t="s">
        <v>794</v>
      </c>
    </row>
    <row r="5" spans="1:23" x14ac:dyDescent="0.25">
      <c r="A5" t="s">
        <v>774</v>
      </c>
      <c r="B5" t="s">
        <v>402</v>
      </c>
      <c r="C5" t="s">
        <v>475</v>
      </c>
      <c r="D5" s="1" t="s">
        <v>732</v>
      </c>
      <c r="E5" s="1" t="s">
        <v>656</v>
      </c>
      <c r="F5" t="s">
        <v>476</v>
      </c>
      <c r="G5" t="str">
        <f t="shared" si="0"/>
        <v>TANFChildCare</v>
      </c>
      <c r="W5" t="s">
        <v>794</v>
      </c>
    </row>
    <row r="6" spans="1:23" x14ac:dyDescent="0.25">
      <c r="A6" t="s">
        <v>774</v>
      </c>
      <c r="B6" t="s">
        <v>402</v>
      </c>
      <c r="C6" t="s">
        <v>477</v>
      </c>
      <c r="D6" s="1" t="s">
        <v>732</v>
      </c>
      <c r="E6" s="1" t="s">
        <v>657</v>
      </c>
      <c r="F6" t="s">
        <v>478</v>
      </c>
      <c r="G6" t="str">
        <f t="shared" si="0"/>
        <v>TANFTransportation</v>
      </c>
      <c r="W6" t="s">
        <v>794</v>
      </c>
    </row>
    <row r="7" spans="1:23" x14ac:dyDescent="0.25">
      <c r="A7" t="s">
        <v>774</v>
      </c>
      <c r="B7" t="s">
        <v>402</v>
      </c>
      <c r="C7" t="s">
        <v>479</v>
      </c>
      <c r="D7" s="1" t="s">
        <v>732</v>
      </c>
      <c r="E7" s="1" t="s">
        <v>660</v>
      </c>
      <c r="F7" t="s">
        <v>480</v>
      </c>
      <c r="G7" t="str">
        <f t="shared" si="0"/>
        <v>OtherTANF</v>
      </c>
      <c r="U7" t="s">
        <v>822</v>
      </c>
      <c r="W7" t="s">
        <v>794</v>
      </c>
    </row>
    <row r="8" spans="1:23" x14ac:dyDescent="0.25">
      <c r="A8" t="s">
        <v>774</v>
      </c>
      <c r="B8" t="s">
        <v>402</v>
      </c>
      <c r="C8" t="s">
        <v>481</v>
      </c>
      <c r="D8" s="1" t="s">
        <v>732</v>
      </c>
      <c r="E8" s="1" t="s">
        <v>65</v>
      </c>
      <c r="F8" t="s">
        <v>482</v>
      </c>
      <c r="G8" t="str">
        <f t="shared" si="0"/>
        <v>OtherBenefitsSource</v>
      </c>
      <c r="W8" t="s">
        <v>794</v>
      </c>
    </row>
    <row r="9" spans="1:23" x14ac:dyDescent="0.25">
      <c r="A9" t="s">
        <v>774</v>
      </c>
      <c r="B9" t="s">
        <v>402</v>
      </c>
      <c r="C9" t="s">
        <v>483</v>
      </c>
      <c r="D9" t="s">
        <v>732</v>
      </c>
      <c r="E9" t="s">
        <v>658</v>
      </c>
      <c r="F9" t="s">
        <v>484</v>
      </c>
      <c r="G9" t="str">
        <f t="shared" si="0"/>
        <v>OtherBenefitsSourceIdentify</v>
      </c>
      <c r="W9" t="s">
        <v>794</v>
      </c>
    </row>
    <row r="10" spans="1:23" x14ac:dyDescent="0.25">
      <c r="A10" t="s">
        <v>777</v>
      </c>
      <c r="B10" t="s">
        <v>613</v>
      </c>
      <c r="C10" t="s">
        <v>25</v>
      </c>
      <c r="D10" s="1" t="s">
        <v>767</v>
      </c>
      <c r="E10" s="1" t="s">
        <v>68</v>
      </c>
      <c r="F10" t="s">
        <v>618</v>
      </c>
      <c r="G10" t="str">
        <f t="shared" si="0"/>
        <v>AssessmentType</v>
      </c>
      <c r="W10" t="s">
        <v>794</v>
      </c>
    </row>
    <row r="11" spans="1:23" x14ac:dyDescent="0.25">
      <c r="A11" t="s">
        <v>777</v>
      </c>
      <c r="B11" t="s">
        <v>613</v>
      </c>
      <c r="C11" t="s">
        <v>26</v>
      </c>
      <c r="D11" s="1" t="s">
        <v>767</v>
      </c>
      <c r="E11" s="1" t="s">
        <v>69</v>
      </c>
      <c r="F11" t="s">
        <v>619</v>
      </c>
      <c r="G11" t="str">
        <f t="shared" si="0"/>
        <v>AssessmentLevel</v>
      </c>
      <c r="W11" t="s">
        <v>794</v>
      </c>
    </row>
    <row r="12" spans="1:23" x14ac:dyDescent="0.25">
      <c r="A12" t="s">
        <v>777</v>
      </c>
      <c r="B12" t="s">
        <v>613</v>
      </c>
      <c r="C12" t="s">
        <v>27</v>
      </c>
      <c r="D12" s="1" t="s">
        <v>767</v>
      </c>
      <c r="E12" s="1" t="s">
        <v>660</v>
      </c>
      <c r="F12" t="s">
        <v>620</v>
      </c>
      <c r="G12" t="str">
        <f t="shared" si="0"/>
        <v>PrioritizationStatus</v>
      </c>
      <c r="W12" t="s">
        <v>794</v>
      </c>
    </row>
    <row r="13" spans="1:23" x14ac:dyDescent="0.25">
      <c r="A13" t="s">
        <v>777</v>
      </c>
      <c r="B13" t="s">
        <v>613</v>
      </c>
      <c r="C13" t="s">
        <v>614</v>
      </c>
      <c r="D13" t="s">
        <v>767</v>
      </c>
      <c r="E13" t="s">
        <v>64</v>
      </c>
      <c r="F13" t="s">
        <v>615</v>
      </c>
      <c r="G13" t="str">
        <f t="shared" si="0"/>
        <v>AssessmentDate</v>
      </c>
      <c r="W13" t="s">
        <v>794</v>
      </c>
    </row>
    <row r="14" spans="1:23" x14ac:dyDescent="0.25">
      <c r="A14" t="s">
        <v>777</v>
      </c>
      <c r="B14" t="s">
        <v>613</v>
      </c>
      <c r="C14" t="s">
        <v>616</v>
      </c>
      <c r="D14" t="s">
        <v>767</v>
      </c>
      <c r="E14" t="s">
        <v>67</v>
      </c>
      <c r="F14" t="s">
        <v>617</v>
      </c>
      <c r="G14" t="str">
        <f t="shared" si="0"/>
        <v>AssessmentLocation</v>
      </c>
      <c r="W14" t="s">
        <v>794</v>
      </c>
    </row>
    <row r="15" spans="1:23" x14ac:dyDescent="0.25">
      <c r="A15" t="s">
        <v>780</v>
      </c>
      <c r="B15" t="s">
        <v>631</v>
      </c>
      <c r="C15" t="s">
        <v>28</v>
      </c>
      <c r="D15" s="1" t="s">
        <v>770</v>
      </c>
      <c r="E15" s="1" t="s">
        <v>67</v>
      </c>
      <c r="F15" t="s">
        <v>631</v>
      </c>
      <c r="G15" t="str">
        <f t="shared" si="0"/>
        <v>Event</v>
      </c>
      <c r="W15" t="s">
        <v>794</v>
      </c>
    </row>
    <row r="16" spans="1:23" x14ac:dyDescent="0.25">
      <c r="A16" t="s">
        <v>780</v>
      </c>
      <c r="B16" t="s">
        <v>631</v>
      </c>
      <c r="C16" t="s">
        <v>634</v>
      </c>
      <c r="D16" s="1" t="s">
        <v>770</v>
      </c>
      <c r="E16" s="1" t="s">
        <v>658</v>
      </c>
      <c r="F16" t="s">
        <v>635</v>
      </c>
      <c r="G16" t="str">
        <f t="shared" si="0"/>
        <v>ProbSolDivRRResult</v>
      </c>
      <c r="W16" t="s">
        <v>794</v>
      </c>
    </row>
    <row r="17" spans="1:23" x14ac:dyDescent="0.25">
      <c r="A17" t="s">
        <v>780</v>
      </c>
      <c r="B17" t="s">
        <v>631</v>
      </c>
      <c r="C17" t="s">
        <v>636</v>
      </c>
      <c r="D17" s="1" t="s">
        <v>770</v>
      </c>
      <c r="E17" s="1" t="s">
        <v>659</v>
      </c>
      <c r="F17" t="s">
        <v>637</v>
      </c>
      <c r="G17" t="str">
        <f t="shared" si="0"/>
        <v>ReferralCaseManageAfter</v>
      </c>
      <c r="W17" t="s">
        <v>794</v>
      </c>
    </row>
    <row r="18" spans="1:23" x14ac:dyDescent="0.25">
      <c r="A18" t="s">
        <v>780</v>
      </c>
      <c r="B18" t="s">
        <v>631</v>
      </c>
      <c r="C18" t="s">
        <v>29</v>
      </c>
      <c r="D18" s="1" t="s">
        <v>770</v>
      </c>
      <c r="E18" s="1" t="s">
        <v>104</v>
      </c>
      <c r="F18" t="s">
        <v>640</v>
      </c>
      <c r="G18" t="str">
        <f t="shared" si="0"/>
        <v>ReferralResult</v>
      </c>
      <c r="W18" t="s">
        <v>794</v>
      </c>
    </row>
    <row r="19" spans="1:23" x14ac:dyDescent="0.25">
      <c r="A19" t="s">
        <v>780</v>
      </c>
      <c r="B19" t="s">
        <v>631</v>
      </c>
      <c r="C19" t="s">
        <v>632</v>
      </c>
      <c r="D19" t="s">
        <v>770</v>
      </c>
      <c r="E19" t="s">
        <v>64</v>
      </c>
      <c r="F19" t="s">
        <v>633</v>
      </c>
      <c r="G19" t="str">
        <f t="shared" si="0"/>
        <v>EventDate</v>
      </c>
      <c r="W19" t="s">
        <v>794</v>
      </c>
    </row>
    <row r="20" spans="1:23" x14ac:dyDescent="0.25">
      <c r="A20" t="s">
        <v>780</v>
      </c>
      <c r="B20" t="s">
        <v>631</v>
      </c>
      <c r="C20" t="s">
        <v>638</v>
      </c>
      <c r="D20" t="s">
        <v>770</v>
      </c>
      <c r="E20" t="s">
        <v>669</v>
      </c>
      <c r="F20" t="s">
        <v>639</v>
      </c>
      <c r="G20" t="str">
        <f t="shared" si="0"/>
        <v>LocationCrisisOrPHHousing</v>
      </c>
      <c r="W20" t="s">
        <v>794</v>
      </c>
    </row>
    <row r="21" spans="1:23" x14ac:dyDescent="0.25">
      <c r="A21" t="s">
        <v>780</v>
      </c>
      <c r="B21" t="s">
        <v>631</v>
      </c>
      <c r="C21" t="s">
        <v>641</v>
      </c>
      <c r="D21" t="s">
        <v>770</v>
      </c>
      <c r="E21" t="s">
        <v>704</v>
      </c>
      <c r="F21" t="s">
        <v>642</v>
      </c>
      <c r="G21" t="str">
        <f t="shared" si="0"/>
        <v>ResultDate</v>
      </c>
      <c r="W21" t="s">
        <v>794</v>
      </c>
    </row>
    <row r="22" spans="1:23" x14ac:dyDescent="0.25">
      <c r="A22" t="s">
        <v>163</v>
      </c>
      <c r="B22" t="s">
        <v>163</v>
      </c>
      <c r="C22" t="s">
        <v>164</v>
      </c>
      <c r="D22" s="1" t="s">
        <v>671</v>
      </c>
      <c r="E22" s="1" t="s">
        <v>64</v>
      </c>
      <c r="F22" t="s">
        <v>165</v>
      </c>
      <c r="G22" t="str">
        <f t="shared" si="0"/>
        <v>AccessPoint</v>
      </c>
      <c r="I22" t="s">
        <v>794</v>
      </c>
      <c r="J22" t="s">
        <v>794</v>
      </c>
      <c r="K22" t="s">
        <v>794</v>
      </c>
      <c r="W22" t="s">
        <v>794</v>
      </c>
    </row>
    <row r="23" spans="1:23" x14ac:dyDescent="0.25">
      <c r="A23" t="s">
        <v>163</v>
      </c>
      <c r="B23" t="s">
        <v>163</v>
      </c>
      <c r="C23" t="s">
        <v>166</v>
      </c>
      <c r="D23" s="1" t="s">
        <v>671</v>
      </c>
      <c r="E23" s="1" t="s">
        <v>658</v>
      </c>
      <c r="F23" t="s">
        <v>167</v>
      </c>
      <c r="G23" t="str">
        <f t="shared" si="0"/>
        <v>PreventionAssessment</v>
      </c>
      <c r="I23" t="s">
        <v>794</v>
      </c>
      <c r="J23" t="s">
        <v>794</v>
      </c>
      <c r="K23" t="s">
        <v>794</v>
      </c>
      <c r="W23" t="s">
        <v>794</v>
      </c>
    </row>
    <row r="24" spans="1:23" x14ac:dyDescent="0.25">
      <c r="A24" t="s">
        <v>163</v>
      </c>
      <c r="B24" t="s">
        <v>163</v>
      </c>
      <c r="C24" t="s">
        <v>166</v>
      </c>
      <c r="D24" s="1" t="s">
        <v>671</v>
      </c>
      <c r="E24" s="1" t="s">
        <v>658</v>
      </c>
      <c r="F24" t="s">
        <v>168</v>
      </c>
      <c r="G24" t="str">
        <f t="shared" si="0"/>
        <v>CrisisAssessment</v>
      </c>
      <c r="I24" t="s">
        <v>794</v>
      </c>
      <c r="J24" t="s">
        <v>794</v>
      </c>
      <c r="K24" t="s">
        <v>794</v>
      </c>
      <c r="W24" t="s">
        <v>794</v>
      </c>
    </row>
    <row r="25" spans="1:23" x14ac:dyDescent="0.25">
      <c r="A25" t="s">
        <v>163</v>
      </c>
      <c r="B25" t="s">
        <v>163</v>
      </c>
      <c r="C25" t="s">
        <v>166</v>
      </c>
      <c r="D25" s="1" t="s">
        <v>671</v>
      </c>
      <c r="E25" s="1" t="s">
        <v>658</v>
      </c>
      <c r="F25" t="s">
        <v>169</v>
      </c>
      <c r="G25" t="str">
        <f t="shared" si="0"/>
        <v>HousingAssessment</v>
      </c>
      <c r="I25" t="s">
        <v>794</v>
      </c>
      <c r="J25" t="s">
        <v>794</v>
      </c>
      <c r="K25" t="s">
        <v>794</v>
      </c>
      <c r="W25" t="s">
        <v>794</v>
      </c>
    </row>
    <row r="26" spans="1:23" x14ac:dyDescent="0.25">
      <c r="A26" t="s">
        <v>163</v>
      </c>
      <c r="B26" t="s">
        <v>163</v>
      </c>
      <c r="C26" t="s">
        <v>166</v>
      </c>
      <c r="D26" s="1" t="s">
        <v>671</v>
      </c>
      <c r="E26" s="1" t="s">
        <v>658</v>
      </c>
      <c r="F26" t="s">
        <v>170</v>
      </c>
      <c r="G26" t="str">
        <f t="shared" si="0"/>
        <v>DirectServices</v>
      </c>
      <c r="I26" t="s">
        <v>794</v>
      </c>
      <c r="J26" t="s">
        <v>794</v>
      </c>
      <c r="K26" t="s">
        <v>794</v>
      </c>
      <c r="W26" t="s">
        <v>794</v>
      </c>
    </row>
    <row r="27" spans="1:23" x14ac:dyDescent="0.25">
      <c r="A27" t="s">
        <v>163</v>
      </c>
      <c r="B27" t="s">
        <v>163</v>
      </c>
      <c r="C27" t="s">
        <v>171</v>
      </c>
      <c r="D27" s="1" t="s">
        <v>671</v>
      </c>
      <c r="E27" s="1" t="s">
        <v>67</v>
      </c>
      <c r="F27" t="s">
        <v>172</v>
      </c>
      <c r="G27" t="str">
        <f t="shared" si="0"/>
        <v>ReceivesReferrals</v>
      </c>
      <c r="I27" t="s">
        <v>794</v>
      </c>
      <c r="J27" t="s">
        <v>794</v>
      </c>
      <c r="K27" t="s">
        <v>794</v>
      </c>
      <c r="W27" t="s">
        <v>794</v>
      </c>
    </row>
    <row r="28" spans="1:23" x14ac:dyDescent="0.25">
      <c r="A28" t="s">
        <v>163</v>
      </c>
      <c r="B28" t="s">
        <v>163</v>
      </c>
      <c r="C28" t="s">
        <v>173</v>
      </c>
      <c r="D28" t="s">
        <v>671</v>
      </c>
      <c r="E28" t="s">
        <v>68</v>
      </c>
      <c r="F28" t="s">
        <v>174</v>
      </c>
      <c r="G28" t="str">
        <f t="shared" si="0"/>
        <v>CEParticipationStatusStartDate</v>
      </c>
      <c r="I28" t="s">
        <v>794</v>
      </c>
      <c r="J28" t="s">
        <v>794</v>
      </c>
      <c r="K28" t="s">
        <v>794</v>
      </c>
      <c r="W28" t="s">
        <v>794</v>
      </c>
    </row>
    <row r="29" spans="1:23" x14ac:dyDescent="0.25">
      <c r="A29" t="s">
        <v>163</v>
      </c>
      <c r="B29" t="s">
        <v>163</v>
      </c>
      <c r="C29" t="s">
        <v>175</v>
      </c>
      <c r="D29" t="s">
        <v>671</v>
      </c>
      <c r="E29" t="s">
        <v>69</v>
      </c>
      <c r="F29" t="s">
        <v>176</v>
      </c>
      <c r="G29" t="str">
        <f t="shared" si="0"/>
        <v>CEParticipationStatusEndDate</v>
      </c>
      <c r="I29" t="s">
        <v>794</v>
      </c>
      <c r="J29" t="s">
        <v>794</v>
      </c>
      <c r="K29" t="s">
        <v>794</v>
      </c>
      <c r="W29" t="s">
        <v>794</v>
      </c>
    </row>
    <row r="30" spans="1:23" x14ac:dyDescent="0.25">
      <c r="A30" t="s">
        <v>778</v>
      </c>
      <c r="B30" t="s">
        <v>621</v>
      </c>
      <c r="C30" t="s">
        <v>622</v>
      </c>
      <c r="D30" t="s">
        <v>767</v>
      </c>
      <c r="E30" t="s">
        <v>768</v>
      </c>
      <c r="F30" t="s">
        <v>623</v>
      </c>
      <c r="G30" t="str">
        <f t="shared" si="0"/>
        <v>AssessmentQuestion</v>
      </c>
      <c r="I30" t="s">
        <v>794</v>
      </c>
      <c r="J30" t="s">
        <v>794</v>
      </c>
      <c r="K30" t="s">
        <v>794</v>
      </c>
      <c r="W30" t="s">
        <v>794</v>
      </c>
    </row>
    <row r="31" spans="1:23" x14ac:dyDescent="0.25">
      <c r="A31" t="s">
        <v>778</v>
      </c>
      <c r="B31" t="s">
        <v>621</v>
      </c>
      <c r="C31" t="s">
        <v>624</v>
      </c>
      <c r="D31" t="s">
        <v>767</v>
      </c>
      <c r="E31" t="s">
        <v>658</v>
      </c>
      <c r="F31" t="s">
        <v>625</v>
      </c>
      <c r="G31" t="str">
        <f t="shared" si="0"/>
        <v>AssessmentAnswer</v>
      </c>
      <c r="I31" t="s">
        <v>794</v>
      </c>
      <c r="J31" t="s">
        <v>794</v>
      </c>
      <c r="K31" t="s">
        <v>794</v>
      </c>
      <c r="W31" t="s">
        <v>794</v>
      </c>
    </row>
    <row r="32" spans="1:23" x14ac:dyDescent="0.25">
      <c r="A32" t="s">
        <v>779</v>
      </c>
      <c r="B32" t="s">
        <v>626</v>
      </c>
      <c r="C32" t="s">
        <v>627</v>
      </c>
      <c r="D32" t="s">
        <v>767</v>
      </c>
      <c r="E32" t="s">
        <v>769</v>
      </c>
      <c r="F32" t="s">
        <v>628</v>
      </c>
      <c r="G32" t="str">
        <f t="shared" si="0"/>
        <v>AssessmentResultType</v>
      </c>
      <c r="I32" t="s">
        <v>794</v>
      </c>
      <c r="J32" t="s">
        <v>794</v>
      </c>
      <c r="K32" t="s">
        <v>794</v>
      </c>
      <c r="W32" t="s">
        <v>794</v>
      </c>
    </row>
    <row r="33" spans="1:23" x14ac:dyDescent="0.25">
      <c r="A33" t="s">
        <v>779</v>
      </c>
      <c r="B33" t="s">
        <v>626</v>
      </c>
      <c r="C33" t="s">
        <v>629</v>
      </c>
      <c r="D33" t="s">
        <v>767</v>
      </c>
      <c r="E33" t="s">
        <v>659</v>
      </c>
      <c r="F33" t="s">
        <v>630</v>
      </c>
      <c r="G33" t="str">
        <f t="shared" si="0"/>
        <v>AssessmentResult</v>
      </c>
      <c r="I33" t="s">
        <v>794</v>
      </c>
      <c r="J33" t="s">
        <v>794</v>
      </c>
      <c r="K33" t="s">
        <v>794</v>
      </c>
      <c r="W33" t="s">
        <v>794</v>
      </c>
    </row>
    <row r="34" spans="1:23" x14ac:dyDescent="0.25">
      <c r="A34" t="s">
        <v>177</v>
      </c>
      <c r="B34" t="s">
        <v>177</v>
      </c>
      <c r="C34" t="s">
        <v>15</v>
      </c>
      <c r="D34" s="1" t="s">
        <v>672</v>
      </c>
      <c r="E34" s="1" t="s">
        <v>656</v>
      </c>
      <c r="F34" t="s">
        <v>187</v>
      </c>
      <c r="G34" t="str">
        <f t="shared" si="0"/>
        <v>NameDataQuality</v>
      </c>
      <c r="I34" t="s">
        <v>794</v>
      </c>
      <c r="J34" t="s">
        <v>794</v>
      </c>
      <c r="K34" t="s">
        <v>794</v>
      </c>
      <c r="L34" t="s">
        <v>794</v>
      </c>
      <c r="M34" t="s">
        <v>794</v>
      </c>
      <c r="O34" t="s">
        <v>794</v>
      </c>
      <c r="W34" t="s">
        <v>794</v>
      </c>
    </row>
    <row r="35" spans="1:23" x14ac:dyDescent="0.25">
      <c r="A35" t="s">
        <v>177</v>
      </c>
      <c r="B35" t="s">
        <v>177</v>
      </c>
      <c r="C35" t="s">
        <v>16</v>
      </c>
      <c r="D35" s="1" t="s">
        <v>673</v>
      </c>
      <c r="E35" s="1" t="s">
        <v>67</v>
      </c>
      <c r="F35" t="s">
        <v>189</v>
      </c>
      <c r="G35" t="str">
        <f t="shared" si="0"/>
        <v>SSNDataQuality</v>
      </c>
      <c r="I35" t="s">
        <v>794</v>
      </c>
      <c r="J35" t="s">
        <v>794</v>
      </c>
      <c r="K35" t="s">
        <v>794</v>
      </c>
      <c r="L35" t="s">
        <v>794</v>
      </c>
      <c r="M35" t="s">
        <v>794</v>
      </c>
      <c r="O35" t="s">
        <v>794</v>
      </c>
      <c r="W35" t="s">
        <v>794</v>
      </c>
    </row>
    <row r="36" spans="1:23" x14ac:dyDescent="0.25">
      <c r="A36" t="s">
        <v>177</v>
      </c>
      <c r="B36" t="s">
        <v>177</v>
      </c>
      <c r="C36" t="s">
        <v>17</v>
      </c>
      <c r="D36" s="1" t="s">
        <v>674</v>
      </c>
      <c r="E36" s="1" t="s">
        <v>67</v>
      </c>
      <c r="F36" t="s">
        <v>192</v>
      </c>
      <c r="G36" t="str">
        <f t="shared" si="0"/>
        <v>DOBDataQuality</v>
      </c>
      <c r="I36" t="s">
        <v>794</v>
      </c>
      <c r="J36" t="s">
        <v>794</v>
      </c>
      <c r="K36" t="s">
        <v>794</v>
      </c>
      <c r="L36" t="s">
        <v>794</v>
      </c>
      <c r="M36" t="s">
        <v>794</v>
      </c>
      <c r="O36" t="s">
        <v>794</v>
      </c>
      <c r="W36" t="s">
        <v>794</v>
      </c>
    </row>
    <row r="37" spans="1:23" x14ac:dyDescent="0.25">
      <c r="A37" t="s">
        <v>177</v>
      </c>
      <c r="B37" t="s">
        <v>177</v>
      </c>
      <c r="C37" t="s">
        <v>30</v>
      </c>
      <c r="D37" s="1" t="s">
        <v>30</v>
      </c>
      <c r="F37" t="s">
        <v>193</v>
      </c>
      <c r="G37" t="str">
        <f t="shared" si="0"/>
        <v>Sex</v>
      </c>
      <c r="I37" t="s">
        <v>794</v>
      </c>
      <c r="J37" t="s">
        <v>794</v>
      </c>
      <c r="K37" t="s">
        <v>794</v>
      </c>
      <c r="L37" t="s">
        <v>794</v>
      </c>
      <c r="M37" t="s">
        <v>794</v>
      </c>
      <c r="O37" t="s">
        <v>794</v>
      </c>
      <c r="W37" t="s">
        <v>794</v>
      </c>
    </row>
    <row r="38" spans="1:23" x14ac:dyDescent="0.25">
      <c r="A38" t="s">
        <v>177</v>
      </c>
      <c r="B38" t="s">
        <v>177</v>
      </c>
      <c r="C38" t="s">
        <v>194</v>
      </c>
      <c r="D38" s="1" t="s">
        <v>675</v>
      </c>
      <c r="E38" s="1" t="s">
        <v>64</v>
      </c>
      <c r="F38" t="s">
        <v>195</v>
      </c>
      <c r="G38" t="str">
        <f t="shared" si="0"/>
        <v>AmIndAKNative</v>
      </c>
      <c r="I38" t="s">
        <v>794</v>
      </c>
      <c r="J38" t="s">
        <v>794</v>
      </c>
      <c r="K38" t="s">
        <v>794</v>
      </c>
      <c r="L38" t="s">
        <v>794</v>
      </c>
      <c r="M38" t="s">
        <v>794</v>
      </c>
      <c r="O38" t="s">
        <v>794</v>
      </c>
      <c r="W38" t="s">
        <v>794</v>
      </c>
    </row>
    <row r="39" spans="1:23" x14ac:dyDescent="0.25">
      <c r="A39" t="s">
        <v>177</v>
      </c>
      <c r="B39" t="s">
        <v>177</v>
      </c>
      <c r="C39" t="s">
        <v>194</v>
      </c>
      <c r="D39" s="1" t="s">
        <v>675</v>
      </c>
      <c r="E39" s="1" t="s">
        <v>64</v>
      </c>
      <c r="F39" t="s">
        <v>196</v>
      </c>
      <c r="G39" t="str">
        <f t="shared" si="0"/>
        <v>Asian</v>
      </c>
      <c r="I39" t="s">
        <v>794</v>
      </c>
      <c r="J39" t="s">
        <v>794</v>
      </c>
      <c r="K39" t="s">
        <v>794</v>
      </c>
      <c r="L39" t="s">
        <v>794</v>
      </c>
      <c r="M39" t="s">
        <v>794</v>
      </c>
      <c r="O39" t="s">
        <v>794</v>
      </c>
      <c r="W39" t="s">
        <v>794</v>
      </c>
    </row>
    <row r="40" spans="1:23" x14ac:dyDescent="0.25">
      <c r="A40" t="s">
        <v>177</v>
      </c>
      <c r="B40" t="s">
        <v>177</v>
      </c>
      <c r="C40" t="s">
        <v>194</v>
      </c>
      <c r="D40" s="1" t="s">
        <v>675</v>
      </c>
      <c r="E40" s="1" t="s">
        <v>64</v>
      </c>
      <c r="F40" t="s">
        <v>197</v>
      </c>
      <c r="G40" t="str">
        <f t="shared" si="0"/>
        <v>BlackAfAmerican</v>
      </c>
      <c r="I40" t="s">
        <v>794</v>
      </c>
      <c r="J40" t="s">
        <v>794</v>
      </c>
      <c r="K40" t="s">
        <v>794</v>
      </c>
      <c r="L40" t="s">
        <v>794</v>
      </c>
      <c r="M40" t="s">
        <v>794</v>
      </c>
      <c r="O40" t="s">
        <v>794</v>
      </c>
      <c r="W40" t="s">
        <v>794</v>
      </c>
    </row>
    <row r="41" spans="1:23" x14ac:dyDescent="0.25">
      <c r="A41" t="s">
        <v>177</v>
      </c>
      <c r="B41" t="s">
        <v>177</v>
      </c>
      <c r="C41" t="s">
        <v>194</v>
      </c>
      <c r="D41" s="1" t="s">
        <v>675</v>
      </c>
      <c r="E41" s="1" t="s">
        <v>64</v>
      </c>
      <c r="F41" t="s">
        <v>198</v>
      </c>
      <c r="G41" t="str">
        <f t="shared" si="0"/>
        <v>HispanicLatinao</v>
      </c>
      <c r="I41" t="s">
        <v>794</v>
      </c>
      <c r="J41" t="s">
        <v>794</v>
      </c>
      <c r="K41" t="s">
        <v>794</v>
      </c>
      <c r="L41" t="s">
        <v>794</v>
      </c>
      <c r="M41" t="s">
        <v>794</v>
      </c>
      <c r="O41" t="s">
        <v>794</v>
      </c>
      <c r="W41" t="s">
        <v>794</v>
      </c>
    </row>
    <row r="42" spans="1:23" x14ac:dyDescent="0.25">
      <c r="A42" t="s">
        <v>177</v>
      </c>
      <c r="B42" t="s">
        <v>177</v>
      </c>
      <c r="C42" t="s">
        <v>194</v>
      </c>
      <c r="D42" s="1" t="s">
        <v>675</v>
      </c>
      <c r="E42" s="1" t="s">
        <v>64</v>
      </c>
      <c r="F42" t="s">
        <v>199</v>
      </c>
      <c r="G42" t="str">
        <f t="shared" si="0"/>
        <v>MidEastNAfrican</v>
      </c>
      <c r="I42" t="s">
        <v>794</v>
      </c>
      <c r="J42" t="s">
        <v>794</v>
      </c>
      <c r="K42" t="s">
        <v>794</v>
      </c>
      <c r="L42" t="s">
        <v>794</v>
      </c>
      <c r="M42" t="s">
        <v>794</v>
      </c>
      <c r="O42" t="s">
        <v>794</v>
      </c>
      <c r="W42" t="s">
        <v>794</v>
      </c>
    </row>
    <row r="43" spans="1:23" x14ac:dyDescent="0.25">
      <c r="A43" t="s">
        <v>177</v>
      </c>
      <c r="B43" t="s">
        <v>177</v>
      </c>
      <c r="C43" t="s">
        <v>194</v>
      </c>
      <c r="D43" s="1" t="s">
        <v>675</v>
      </c>
      <c r="E43" s="1" t="s">
        <v>64</v>
      </c>
      <c r="F43" t="s">
        <v>200</v>
      </c>
      <c r="G43" t="str">
        <f t="shared" si="0"/>
        <v>NativeHIPacific</v>
      </c>
      <c r="I43" t="s">
        <v>794</v>
      </c>
      <c r="J43" t="s">
        <v>794</v>
      </c>
      <c r="K43" t="s">
        <v>794</v>
      </c>
      <c r="L43" t="s">
        <v>794</v>
      </c>
      <c r="M43" t="s">
        <v>794</v>
      </c>
      <c r="O43" t="s">
        <v>794</v>
      </c>
      <c r="W43" t="s">
        <v>794</v>
      </c>
    </row>
    <row r="44" spans="1:23" x14ac:dyDescent="0.25">
      <c r="A44" t="s">
        <v>177</v>
      </c>
      <c r="B44" t="s">
        <v>177</v>
      </c>
      <c r="C44" t="s">
        <v>194</v>
      </c>
      <c r="D44" s="1" t="s">
        <v>675</v>
      </c>
      <c r="E44" s="1" t="s">
        <v>64</v>
      </c>
      <c r="F44" t="s">
        <v>201</v>
      </c>
      <c r="G44" t="str">
        <f t="shared" si="0"/>
        <v>White</v>
      </c>
      <c r="I44" t="s">
        <v>794</v>
      </c>
      <c r="J44" t="s">
        <v>794</v>
      </c>
      <c r="K44" t="s">
        <v>794</v>
      </c>
      <c r="L44" t="s">
        <v>794</v>
      </c>
      <c r="M44" t="s">
        <v>794</v>
      </c>
      <c r="O44" t="s">
        <v>794</v>
      </c>
      <c r="W44" t="s">
        <v>794</v>
      </c>
    </row>
    <row r="45" spans="1:23" x14ac:dyDescent="0.25">
      <c r="A45" t="s">
        <v>177</v>
      </c>
      <c r="B45" t="s">
        <v>177</v>
      </c>
      <c r="C45" t="s">
        <v>194</v>
      </c>
      <c r="D45" s="1" t="s">
        <v>675</v>
      </c>
      <c r="E45" s="1" t="s">
        <v>64</v>
      </c>
      <c r="F45" t="s">
        <v>202</v>
      </c>
      <c r="G45" t="str">
        <f t="shared" si="0"/>
        <v>RaceNone</v>
      </c>
      <c r="L45" t="s">
        <v>794</v>
      </c>
      <c r="M45" t="s">
        <v>794</v>
      </c>
      <c r="O45" t="s">
        <v>794</v>
      </c>
      <c r="W45" t="s">
        <v>794</v>
      </c>
    </row>
    <row r="46" spans="1:23" x14ac:dyDescent="0.25">
      <c r="A46" t="s">
        <v>177</v>
      </c>
      <c r="B46" t="s">
        <v>177</v>
      </c>
      <c r="C46" t="s">
        <v>205</v>
      </c>
      <c r="D46" s="1" t="s">
        <v>676</v>
      </c>
      <c r="E46" s="1" t="s">
        <v>64</v>
      </c>
      <c r="F46" t="s">
        <v>206</v>
      </c>
      <c r="G46" t="str">
        <f t="shared" si="0"/>
        <v>VeteranStatus</v>
      </c>
      <c r="L46" t="s">
        <v>794</v>
      </c>
      <c r="M46" t="s">
        <v>794</v>
      </c>
      <c r="O46" t="s">
        <v>794</v>
      </c>
      <c r="W46" t="s">
        <v>794</v>
      </c>
    </row>
    <row r="47" spans="1:23" x14ac:dyDescent="0.25">
      <c r="A47" t="s">
        <v>177</v>
      </c>
      <c r="B47" t="s">
        <v>177</v>
      </c>
      <c r="C47" t="s">
        <v>211</v>
      </c>
      <c r="D47" s="1" t="s">
        <v>677</v>
      </c>
      <c r="E47" s="1" t="s">
        <v>68</v>
      </c>
      <c r="F47" t="s">
        <v>212</v>
      </c>
      <c r="G47" t="str">
        <f t="shared" si="0"/>
        <v>WorldWarII</v>
      </c>
      <c r="L47" t="s">
        <v>794</v>
      </c>
      <c r="M47" t="s">
        <v>794</v>
      </c>
      <c r="O47" t="s">
        <v>794</v>
      </c>
      <c r="W47" t="s">
        <v>794</v>
      </c>
    </row>
    <row r="48" spans="1:23" x14ac:dyDescent="0.25">
      <c r="A48" t="s">
        <v>177</v>
      </c>
      <c r="B48" t="s">
        <v>177</v>
      </c>
      <c r="C48" t="s">
        <v>213</v>
      </c>
      <c r="D48" s="1" t="s">
        <v>677</v>
      </c>
      <c r="E48" s="1" t="s">
        <v>69</v>
      </c>
      <c r="F48" t="s">
        <v>214</v>
      </c>
      <c r="G48" t="str">
        <f t="shared" si="0"/>
        <v>KoreanWar</v>
      </c>
      <c r="L48" t="s">
        <v>794</v>
      </c>
      <c r="M48" t="s">
        <v>794</v>
      </c>
      <c r="O48" t="s">
        <v>794</v>
      </c>
      <c r="W48" t="s">
        <v>794</v>
      </c>
    </row>
    <row r="49" spans="1:23" x14ac:dyDescent="0.25">
      <c r="A49" t="s">
        <v>177</v>
      </c>
      <c r="B49" t="s">
        <v>177</v>
      </c>
      <c r="C49" t="s">
        <v>215</v>
      </c>
      <c r="D49" s="1" t="s">
        <v>677</v>
      </c>
      <c r="E49" s="1" t="s">
        <v>656</v>
      </c>
      <c r="F49" t="s">
        <v>216</v>
      </c>
      <c r="G49" t="str">
        <f t="shared" si="0"/>
        <v>VietnamWar</v>
      </c>
      <c r="L49" t="s">
        <v>794</v>
      </c>
      <c r="M49" t="s">
        <v>794</v>
      </c>
      <c r="O49" t="s">
        <v>794</v>
      </c>
      <c r="W49" t="s">
        <v>794</v>
      </c>
    </row>
    <row r="50" spans="1:23" x14ac:dyDescent="0.25">
      <c r="A50" t="s">
        <v>177</v>
      </c>
      <c r="B50" t="s">
        <v>177</v>
      </c>
      <c r="C50" t="s">
        <v>217</v>
      </c>
      <c r="D50" s="1" t="s">
        <v>677</v>
      </c>
      <c r="E50" s="1" t="s">
        <v>657</v>
      </c>
      <c r="F50" t="s">
        <v>218</v>
      </c>
      <c r="G50" t="str">
        <f t="shared" si="0"/>
        <v>DesertStorm</v>
      </c>
      <c r="L50" t="s">
        <v>794</v>
      </c>
      <c r="M50" t="s">
        <v>794</v>
      </c>
      <c r="O50" t="s">
        <v>794</v>
      </c>
      <c r="W50" t="s">
        <v>794</v>
      </c>
    </row>
    <row r="51" spans="1:23" x14ac:dyDescent="0.25">
      <c r="A51" t="s">
        <v>177</v>
      </c>
      <c r="B51" t="s">
        <v>177</v>
      </c>
      <c r="C51" t="s">
        <v>219</v>
      </c>
      <c r="D51" s="1" t="s">
        <v>677</v>
      </c>
      <c r="E51" s="1" t="s">
        <v>660</v>
      </c>
      <c r="F51" t="s">
        <v>220</v>
      </c>
      <c r="G51" t="str">
        <f t="shared" si="0"/>
        <v>AfghanistanOEF</v>
      </c>
      <c r="L51" t="s">
        <v>794</v>
      </c>
      <c r="M51" t="s">
        <v>794</v>
      </c>
      <c r="O51" t="s">
        <v>794</v>
      </c>
      <c r="W51" t="s">
        <v>794</v>
      </c>
    </row>
    <row r="52" spans="1:23" x14ac:dyDescent="0.25">
      <c r="A52" t="s">
        <v>177</v>
      </c>
      <c r="B52" t="s">
        <v>177</v>
      </c>
      <c r="C52" t="s">
        <v>221</v>
      </c>
      <c r="D52" s="1" t="s">
        <v>677</v>
      </c>
      <c r="E52" s="1" t="s">
        <v>65</v>
      </c>
      <c r="F52" t="s">
        <v>222</v>
      </c>
      <c r="G52" t="str">
        <f t="shared" si="0"/>
        <v>IraqOIF</v>
      </c>
      <c r="L52" t="s">
        <v>794</v>
      </c>
      <c r="M52" t="s">
        <v>794</v>
      </c>
      <c r="O52" t="s">
        <v>794</v>
      </c>
      <c r="W52" t="s">
        <v>794</v>
      </c>
    </row>
    <row r="53" spans="1:23" x14ac:dyDescent="0.25">
      <c r="A53" t="s">
        <v>177</v>
      </c>
      <c r="B53" t="s">
        <v>177</v>
      </c>
      <c r="C53" t="s">
        <v>223</v>
      </c>
      <c r="D53" s="1" t="s">
        <v>677</v>
      </c>
      <c r="E53" s="1" t="s">
        <v>66</v>
      </c>
      <c r="F53" t="s">
        <v>224</v>
      </c>
      <c r="G53" t="str">
        <f t="shared" si="0"/>
        <v>IraqOND</v>
      </c>
      <c r="L53" t="s">
        <v>794</v>
      </c>
      <c r="M53" t="s">
        <v>794</v>
      </c>
      <c r="O53" t="s">
        <v>794</v>
      </c>
      <c r="W53" t="s">
        <v>794</v>
      </c>
    </row>
    <row r="54" spans="1:23" x14ac:dyDescent="0.25">
      <c r="A54" t="s">
        <v>177</v>
      </c>
      <c r="B54" t="s">
        <v>177</v>
      </c>
      <c r="C54" t="s">
        <v>225</v>
      </c>
      <c r="D54" s="1" t="s">
        <v>677</v>
      </c>
      <c r="E54" s="1" t="s">
        <v>70</v>
      </c>
      <c r="F54" t="s">
        <v>226</v>
      </c>
      <c r="G54" t="str">
        <f t="shared" si="0"/>
        <v>OtherTheater</v>
      </c>
      <c r="L54" t="s">
        <v>794</v>
      </c>
      <c r="M54" t="s">
        <v>794</v>
      </c>
      <c r="O54" t="s">
        <v>794</v>
      </c>
      <c r="W54" t="s">
        <v>794</v>
      </c>
    </row>
    <row r="55" spans="1:23" x14ac:dyDescent="0.25">
      <c r="A55" t="s">
        <v>177</v>
      </c>
      <c r="B55" t="s">
        <v>177</v>
      </c>
      <c r="C55" t="s">
        <v>46</v>
      </c>
      <c r="D55" s="1" t="s">
        <v>677</v>
      </c>
      <c r="E55" s="1" t="s">
        <v>666</v>
      </c>
      <c r="F55" t="s">
        <v>227</v>
      </c>
      <c r="G55" t="str">
        <f t="shared" si="0"/>
        <v>MilitaryBranch</v>
      </c>
      <c r="L55" t="s">
        <v>794</v>
      </c>
      <c r="M55" t="s">
        <v>794</v>
      </c>
      <c r="O55" t="s">
        <v>794</v>
      </c>
      <c r="W55" t="s">
        <v>794</v>
      </c>
    </row>
    <row r="56" spans="1:23" x14ac:dyDescent="0.25">
      <c r="A56" t="s">
        <v>177</v>
      </c>
      <c r="B56" t="s">
        <v>177</v>
      </c>
      <c r="C56" t="s">
        <v>47</v>
      </c>
      <c r="D56" s="1" t="s">
        <v>677</v>
      </c>
      <c r="E56" s="1" t="s">
        <v>667</v>
      </c>
      <c r="F56" t="s">
        <v>228</v>
      </c>
      <c r="G56" t="str">
        <f t="shared" si="0"/>
        <v>DischargeStatus</v>
      </c>
      <c r="L56" t="s">
        <v>794</v>
      </c>
      <c r="M56" t="s">
        <v>794</v>
      </c>
      <c r="O56" t="s">
        <v>794</v>
      </c>
      <c r="W56" t="s">
        <v>794</v>
      </c>
    </row>
    <row r="57" spans="1:23" x14ac:dyDescent="0.25">
      <c r="A57" t="s">
        <v>177</v>
      </c>
      <c r="B57" t="s">
        <v>177</v>
      </c>
      <c r="C57">
        <v>5.08</v>
      </c>
      <c r="D57">
        <v>5.08</v>
      </c>
      <c r="E57"/>
      <c r="F57" t="s">
        <v>178</v>
      </c>
      <c r="G57" t="str">
        <f t="shared" si="0"/>
        <v>PersonalID</v>
      </c>
      <c r="L57" t="s">
        <v>794</v>
      </c>
      <c r="M57" t="s">
        <v>794</v>
      </c>
      <c r="O57" t="s">
        <v>794</v>
      </c>
      <c r="P57" t="s">
        <v>794</v>
      </c>
      <c r="Q57" t="s">
        <v>794</v>
      </c>
      <c r="V57" t="s">
        <v>794</v>
      </c>
      <c r="W57" t="s">
        <v>794</v>
      </c>
    </row>
    <row r="58" spans="1:23" x14ac:dyDescent="0.25">
      <c r="A58" t="s">
        <v>177</v>
      </c>
      <c r="B58" t="s">
        <v>177</v>
      </c>
      <c r="C58" t="s">
        <v>179</v>
      </c>
      <c r="D58" t="s">
        <v>672</v>
      </c>
      <c r="E58" t="s">
        <v>64</v>
      </c>
      <c r="F58" t="s">
        <v>180</v>
      </c>
      <c r="G58" t="str">
        <f t="shared" si="0"/>
        <v>FirstName</v>
      </c>
      <c r="L58" t="s">
        <v>794</v>
      </c>
      <c r="M58" t="s">
        <v>794</v>
      </c>
      <c r="O58" t="s">
        <v>794</v>
      </c>
      <c r="U58" t="s">
        <v>794</v>
      </c>
      <c r="W58" t="s">
        <v>794</v>
      </c>
    </row>
    <row r="59" spans="1:23" x14ac:dyDescent="0.25">
      <c r="A59" t="s">
        <v>177</v>
      </c>
      <c r="B59" t="s">
        <v>177</v>
      </c>
      <c r="C59" t="s">
        <v>181</v>
      </c>
      <c r="D59" t="s">
        <v>672</v>
      </c>
      <c r="E59" t="s">
        <v>67</v>
      </c>
      <c r="F59" t="s">
        <v>182</v>
      </c>
      <c r="G59" t="str">
        <f t="shared" si="0"/>
        <v>MiddleName</v>
      </c>
      <c r="L59" t="s">
        <v>794</v>
      </c>
      <c r="M59" t="s">
        <v>794</v>
      </c>
      <c r="O59" t="s">
        <v>794</v>
      </c>
      <c r="W59" t="s">
        <v>794</v>
      </c>
    </row>
    <row r="60" spans="1:23" x14ac:dyDescent="0.25">
      <c r="A60" t="s">
        <v>177</v>
      </c>
      <c r="B60" t="s">
        <v>177</v>
      </c>
      <c r="C60" t="s">
        <v>183</v>
      </c>
      <c r="D60" t="s">
        <v>672</v>
      </c>
      <c r="E60" t="s">
        <v>68</v>
      </c>
      <c r="F60" t="s">
        <v>184</v>
      </c>
      <c r="G60" t="str">
        <f t="shared" si="0"/>
        <v>LastName</v>
      </c>
      <c r="L60" t="s">
        <v>794</v>
      </c>
      <c r="M60" t="s">
        <v>794</v>
      </c>
      <c r="O60" t="s">
        <v>794</v>
      </c>
      <c r="U60" t="s">
        <v>794</v>
      </c>
      <c r="W60" t="s">
        <v>794</v>
      </c>
    </row>
    <row r="61" spans="1:23" x14ac:dyDescent="0.25">
      <c r="A61" t="s">
        <v>177</v>
      </c>
      <c r="B61" t="s">
        <v>177</v>
      </c>
      <c r="C61" t="s">
        <v>185</v>
      </c>
      <c r="D61" t="s">
        <v>672</v>
      </c>
      <c r="E61" t="s">
        <v>69</v>
      </c>
      <c r="F61" t="s">
        <v>186</v>
      </c>
      <c r="G61" t="str">
        <f t="shared" si="0"/>
        <v>NameSuffix</v>
      </c>
      <c r="L61" t="s">
        <v>794</v>
      </c>
      <c r="M61" t="s">
        <v>794</v>
      </c>
      <c r="O61" t="s">
        <v>794</v>
      </c>
      <c r="W61" t="s">
        <v>794</v>
      </c>
    </row>
    <row r="62" spans="1:23" x14ac:dyDescent="0.25">
      <c r="A62" t="s">
        <v>177</v>
      </c>
      <c r="B62" t="s">
        <v>177</v>
      </c>
      <c r="C62" t="s">
        <v>188</v>
      </c>
      <c r="D62" t="s">
        <v>673</v>
      </c>
      <c r="E62" t="s">
        <v>64</v>
      </c>
      <c r="F62" t="s">
        <v>786</v>
      </c>
      <c r="G62" t="str">
        <f t="shared" si="0"/>
        <v>SSN</v>
      </c>
      <c r="L62" t="s">
        <v>794</v>
      </c>
      <c r="M62" t="s">
        <v>794</v>
      </c>
      <c r="O62" t="s">
        <v>794</v>
      </c>
      <c r="W62" t="s">
        <v>794</v>
      </c>
    </row>
    <row r="63" spans="1:23" x14ac:dyDescent="0.25">
      <c r="A63" t="s">
        <v>177</v>
      </c>
      <c r="B63" t="s">
        <v>177</v>
      </c>
      <c r="C63" t="s">
        <v>190</v>
      </c>
      <c r="D63" t="s">
        <v>674</v>
      </c>
      <c r="E63" t="s">
        <v>64</v>
      </c>
      <c r="F63" t="s">
        <v>191</v>
      </c>
      <c r="G63" t="str">
        <f t="shared" si="0"/>
        <v>DOB</v>
      </c>
      <c r="L63" t="s">
        <v>794</v>
      </c>
      <c r="M63" t="s">
        <v>794</v>
      </c>
      <c r="O63" t="s">
        <v>794</v>
      </c>
      <c r="U63" t="s">
        <v>794</v>
      </c>
      <c r="W63" t="s">
        <v>794</v>
      </c>
    </row>
    <row r="64" spans="1:23" x14ac:dyDescent="0.25">
      <c r="A64" t="s">
        <v>177</v>
      </c>
      <c r="B64" t="s">
        <v>177</v>
      </c>
      <c r="C64" t="s">
        <v>203</v>
      </c>
      <c r="D64" t="s">
        <v>675</v>
      </c>
      <c r="E64" t="s">
        <v>67</v>
      </c>
      <c r="F64" t="s">
        <v>204</v>
      </c>
      <c r="G64" t="str">
        <f t="shared" si="0"/>
        <v>AdditionalRaceEthnicity</v>
      </c>
      <c r="L64" t="s">
        <v>794</v>
      </c>
      <c r="M64" t="s">
        <v>794</v>
      </c>
      <c r="O64" t="s">
        <v>794</v>
      </c>
      <c r="W64" t="s">
        <v>794</v>
      </c>
    </row>
    <row r="65" spans="1:23" x14ac:dyDescent="0.25">
      <c r="A65" t="s">
        <v>177</v>
      </c>
      <c r="B65" t="s">
        <v>177</v>
      </c>
      <c r="C65" t="s">
        <v>207</v>
      </c>
      <c r="D65" t="s">
        <v>677</v>
      </c>
      <c r="E65" t="s">
        <v>64</v>
      </c>
      <c r="F65" t="s">
        <v>208</v>
      </c>
      <c r="G65" t="str">
        <f t="shared" si="0"/>
        <v>YearEnteredService</v>
      </c>
      <c r="L65" t="s">
        <v>794</v>
      </c>
      <c r="M65" t="s">
        <v>794</v>
      </c>
      <c r="O65" t="s">
        <v>794</v>
      </c>
      <c r="W65" t="s">
        <v>794</v>
      </c>
    </row>
    <row r="66" spans="1:23" x14ac:dyDescent="0.25">
      <c r="A66" t="s">
        <v>177</v>
      </c>
      <c r="B66" t="s">
        <v>177</v>
      </c>
      <c r="C66" t="s">
        <v>209</v>
      </c>
      <c r="D66" t="s">
        <v>677</v>
      </c>
      <c r="E66" t="s">
        <v>67</v>
      </c>
      <c r="F66" t="s">
        <v>210</v>
      </c>
      <c r="G66" t="str">
        <f t="shared" si="0"/>
        <v>YearSeparated</v>
      </c>
      <c r="L66" t="s">
        <v>794</v>
      </c>
      <c r="M66" t="s">
        <v>794</v>
      </c>
      <c r="O66" t="s">
        <v>794</v>
      </c>
      <c r="W66" t="s">
        <v>794</v>
      </c>
    </row>
    <row r="67" spans="1:23" x14ac:dyDescent="0.25">
      <c r="A67" t="s">
        <v>594</v>
      </c>
      <c r="B67" t="s">
        <v>594</v>
      </c>
      <c r="C67" t="s">
        <v>596</v>
      </c>
      <c r="D67" s="1" t="s">
        <v>762</v>
      </c>
      <c r="E67" s="1" t="s">
        <v>67</v>
      </c>
      <c r="F67" t="s">
        <v>594</v>
      </c>
      <c r="G67" t="str">
        <f t="shared" ref="G67:G130" si="1">F67</f>
        <v>CurrentLivingSituation</v>
      </c>
      <c r="W67" t="s">
        <v>794</v>
      </c>
    </row>
    <row r="68" spans="1:23" x14ac:dyDescent="0.25">
      <c r="A68" t="s">
        <v>594</v>
      </c>
      <c r="B68" t="s">
        <v>594</v>
      </c>
      <c r="C68" t="s">
        <v>597</v>
      </c>
      <c r="D68" s="1" t="s">
        <v>762</v>
      </c>
      <c r="E68" s="1" t="s">
        <v>658</v>
      </c>
      <c r="F68" t="s">
        <v>598</v>
      </c>
      <c r="G68" t="str">
        <f t="shared" si="1"/>
        <v>CLSSubsidyType</v>
      </c>
      <c r="W68" t="s">
        <v>794</v>
      </c>
    </row>
    <row r="69" spans="1:23" x14ac:dyDescent="0.25">
      <c r="A69" t="s">
        <v>594</v>
      </c>
      <c r="B69" t="s">
        <v>594</v>
      </c>
      <c r="C69" t="s">
        <v>601</v>
      </c>
      <c r="D69" s="1" t="s">
        <v>762</v>
      </c>
      <c r="E69" s="1" t="s">
        <v>724</v>
      </c>
      <c r="F69" t="s">
        <v>602</v>
      </c>
      <c r="G69" t="str">
        <f t="shared" si="1"/>
        <v>LeaveSituation14Days</v>
      </c>
      <c r="W69" t="s">
        <v>794</v>
      </c>
    </row>
    <row r="70" spans="1:23" x14ac:dyDescent="0.25">
      <c r="A70" t="s">
        <v>594</v>
      </c>
      <c r="B70" t="s">
        <v>594</v>
      </c>
      <c r="C70" t="s">
        <v>603</v>
      </c>
      <c r="D70" s="1" t="s">
        <v>762</v>
      </c>
      <c r="E70" s="1" t="s">
        <v>763</v>
      </c>
      <c r="F70" t="s">
        <v>604</v>
      </c>
      <c r="G70" t="str">
        <f t="shared" si="1"/>
        <v>SubsequentResidence</v>
      </c>
      <c r="W70" t="s">
        <v>794</v>
      </c>
    </row>
    <row r="71" spans="1:23" x14ac:dyDescent="0.25">
      <c r="A71" t="s">
        <v>594</v>
      </c>
      <c r="B71" t="s">
        <v>594</v>
      </c>
      <c r="C71" t="s">
        <v>605</v>
      </c>
      <c r="D71" s="1" t="s">
        <v>762</v>
      </c>
      <c r="E71" s="1" t="s">
        <v>764</v>
      </c>
      <c r="F71" t="s">
        <v>606</v>
      </c>
      <c r="G71" t="str">
        <f t="shared" si="1"/>
        <v>ResourcesToObtain</v>
      </c>
      <c r="W71" t="s">
        <v>794</v>
      </c>
    </row>
    <row r="72" spans="1:23" x14ac:dyDescent="0.25">
      <c r="A72" t="s">
        <v>594</v>
      </c>
      <c r="B72" t="s">
        <v>594</v>
      </c>
      <c r="C72" t="s">
        <v>607</v>
      </c>
      <c r="D72" s="1" t="s">
        <v>762</v>
      </c>
      <c r="E72" s="1" t="s">
        <v>765</v>
      </c>
      <c r="F72" t="s">
        <v>608</v>
      </c>
      <c r="G72" t="str">
        <f t="shared" si="1"/>
        <v>LeaseOwn60Day</v>
      </c>
      <c r="W72" t="s">
        <v>794</v>
      </c>
    </row>
    <row r="73" spans="1:23" x14ac:dyDescent="0.25">
      <c r="A73" t="s">
        <v>594</v>
      </c>
      <c r="B73" t="s">
        <v>594</v>
      </c>
      <c r="C73" t="s">
        <v>609</v>
      </c>
      <c r="D73" s="1" t="s">
        <v>762</v>
      </c>
      <c r="E73" s="1" t="s">
        <v>766</v>
      </c>
      <c r="F73" t="s">
        <v>610</v>
      </c>
      <c r="G73" t="str">
        <f t="shared" si="1"/>
        <v>MovedTwoOrMore</v>
      </c>
      <c r="W73" t="s">
        <v>794</v>
      </c>
    </row>
    <row r="74" spans="1:23" x14ac:dyDescent="0.25">
      <c r="A74" t="s">
        <v>594</v>
      </c>
      <c r="B74" t="s">
        <v>594</v>
      </c>
      <c r="C74" t="s">
        <v>595</v>
      </c>
      <c r="D74" t="s">
        <v>762</v>
      </c>
      <c r="E74" t="s">
        <v>64</v>
      </c>
      <c r="F74" t="s">
        <v>539</v>
      </c>
      <c r="G74" t="str">
        <f t="shared" si="1"/>
        <v>InformationDate</v>
      </c>
      <c r="W74" t="s">
        <v>794</v>
      </c>
    </row>
    <row r="75" spans="1:23" x14ac:dyDescent="0.25">
      <c r="A75" t="s">
        <v>594</v>
      </c>
      <c r="B75" t="s">
        <v>594</v>
      </c>
      <c r="C75" t="s">
        <v>599</v>
      </c>
      <c r="D75" t="s">
        <v>762</v>
      </c>
      <c r="E75" t="s">
        <v>68</v>
      </c>
      <c r="F75" t="s">
        <v>600</v>
      </c>
      <c r="G75" t="str">
        <f t="shared" si="1"/>
        <v>VerifiedBy</v>
      </c>
      <c r="W75" t="s">
        <v>794</v>
      </c>
    </row>
    <row r="76" spans="1:23" x14ac:dyDescent="0.25">
      <c r="A76" t="s">
        <v>594</v>
      </c>
      <c r="B76" t="s">
        <v>594</v>
      </c>
      <c r="C76" t="s">
        <v>611</v>
      </c>
      <c r="D76" t="s">
        <v>762</v>
      </c>
      <c r="E76" t="s">
        <v>69</v>
      </c>
      <c r="F76" t="s">
        <v>612</v>
      </c>
      <c r="G76" t="str">
        <f t="shared" si="1"/>
        <v>LocationDetails</v>
      </c>
      <c r="W76" t="s">
        <v>794</v>
      </c>
    </row>
    <row r="77" spans="1:23" x14ac:dyDescent="0.25">
      <c r="A77" t="s">
        <v>785</v>
      </c>
      <c r="B77" t="s">
        <v>562</v>
      </c>
      <c r="C77" t="s">
        <v>563</v>
      </c>
      <c r="D77" s="1" t="s">
        <v>753</v>
      </c>
      <c r="E77" s="1" t="s">
        <v>754</v>
      </c>
      <c r="F77" t="s">
        <v>564</v>
      </c>
      <c r="G77" t="str">
        <f t="shared" si="1"/>
        <v>TCellCountAvailable</v>
      </c>
      <c r="W77" t="s">
        <v>794</v>
      </c>
    </row>
    <row r="78" spans="1:23" x14ac:dyDescent="0.25">
      <c r="A78" t="s">
        <v>785</v>
      </c>
      <c r="B78" t="s">
        <v>562</v>
      </c>
      <c r="C78" t="s">
        <v>62</v>
      </c>
      <c r="D78" s="1" t="s">
        <v>753</v>
      </c>
      <c r="E78" s="1" t="s">
        <v>659</v>
      </c>
      <c r="F78" t="s">
        <v>567</v>
      </c>
      <c r="G78" t="str">
        <f t="shared" si="1"/>
        <v>TCellSource</v>
      </c>
      <c r="W78" t="s">
        <v>794</v>
      </c>
    </row>
    <row r="79" spans="1:23" x14ac:dyDescent="0.25">
      <c r="A79" t="s">
        <v>785</v>
      </c>
      <c r="B79" t="s">
        <v>562</v>
      </c>
      <c r="C79" t="s">
        <v>568</v>
      </c>
      <c r="D79" s="1" t="s">
        <v>753</v>
      </c>
      <c r="E79" s="1" t="s">
        <v>755</v>
      </c>
      <c r="F79" t="s">
        <v>569</v>
      </c>
      <c r="G79" t="str">
        <f t="shared" si="1"/>
        <v>ViralLoadAvailable</v>
      </c>
      <c r="W79" t="s">
        <v>794</v>
      </c>
    </row>
    <row r="80" spans="1:23" x14ac:dyDescent="0.25">
      <c r="A80" t="s">
        <v>785</v>
      </c>
      <c r="B80" t="s">
        <v>562</v>
      </c>
      <c r="C80" t="s">
        <v>572</v>
      </c>
      <c r="D80" s="1" t="s">
        <v>753</v>
      </c>
      <c r="E80" s="1" t="s">
        <v>104</v>
      </c>
      <c r="F80" t="s">
        <v>573</v>
      </c>
      <c r="G80" t="str">
        <f t="shared" si="1"/>
        <v>ViralLoadSource</v>
      </c>
      <c r="W80" t="s">
        <v>794</v>
      </c>
    </row>
    <row r="81" spans="1:23" x14ac:dyDescent="0.25">
      <c r="A81" t="s">
        <v>785</v>
      </c>
      <c r="B81" t="s">
        <v>562</v>
      </c>
      <c r="C81" t="s">
        <v>574</v>
      </c>
      <c r="D81" s="1" t="s">
        <v>756</v>
      </c>
      <c r="E81" s="1" t="s">
        <v>754</v>
      </c>
      <c r="F81" t="s">
        <v>575</v>
      </c>
      <c r="G81" t="str">
        <f t="shared" si="1"/>
        <v>AntiRetroviral</v>
      </c>
      <c r="W81" t="s">
        <v>794</v>
      </c>
    </row>
    <row r="82" spans="1:23" x14ac:dyDescent="0.25">
      <c r="A82" t="s">
        <v>785</v>
      </c>
      <c r="B82" t="s">
        <v>562</v>
      </c>
      <c r="C82" t="s">
        <v>565</v>
      </c>
      <c r="D82" t="s">
        <v>753</v>
      </c>
      <c r="E82" t="s">
        <v>658</v>
      </c>
      <c r="F82" t="s">
        <v>566</v>
      </c>
      <c r="G82" t="str">
        <f t="shared" si="1"/>
        <v>TCellCount</v>
      </c>
      <c r="W82" t="s">
        <v>794</v>
      </c>
    </row>
    <row r="83" spans="1:23" x14ac:dyDescent="0.25">
      <c r="A83" t="s">
        <v>785</v>
      </c>
      <c r="B83" t="s">
        <v>562</v>
      </c>
      <c r="C83" t="s">
        <v>570</v>
      </c>
      <c r="D83" t="s">
        <v>753</v>
      </c>
      <c r="E83" t="s">
        <v>669</v>
      </c>
      <c r="F83" t="s">
        <v>571</v>
      </c>
      <c r="G83" t="str">
        <f t="shared" si="1"/>
        <v>ViralLoad</v>
      </c>
      <c r="W83" t="s">
        <v>794</v>
      </c>
    </row>
    <row r="84" spans="1:23" x14ac:dyDescent="0.25">
      <c r="A84" t="s">
        <v>554</v>
      </c>
      <c r="B84" t="s">
        <v>554</v>
      </c>
      <c r="C84" t="s">
        <v>41</v>
      </c>
      <c r="D84" s="1" t="s">
        <v>751</v>
      </c>
      <c r="E84" s="1" t="s">
        <v>64</v>
      </c>
      <c r="F84" t="s">
        <v>556</v>
      </c>
      <c r="G84" t="str">
        <f t="shared" si="1"/>
        <v>LastGradeCompleted</v>
      </c>
      <c r="W84" t="s">
        <v>794</v>
      </c>
    </row>
    <row r="85" spans="1:23" x14ac:dyDescent="0.25">
      <c r="A85" t="s">
        <v>554</v>
      </c>
      <c r="B85" t="s">
        <v>554</v>
      </c>
      <c r="C85" t="s">
        <v>42</v>
      </c>
      <c r="D85" s="1" t="s">
        <v>752</v>
      </c>
      <c r="E85" s="1" t="s">
        <v>64</v>
      </c>
      <c r="F85" t="s">
        <v>557</v>
      </c>
      <c r="G85" t="str">
        <f t="shared" si="1"/>
        <v>SchoolStatus</v>
      </c>
      <c r="W85" t="s">
        <v>794</v>
      </c>
    </row>
    <row r="86" spans="1:23" x14ac:dyDescent="0.25">
      <c r="A86" t="s">
        <v>554</v>
      </c>
      <c r="B86" t="s">
        <v>554</v>
      </c>
      <c r="C86" t="s">
        <v>558</v>
      </c>
      <c r="D86" s="1" t="s">
        <v>750</v>
      </c>
      <c r="E86" s="1" t="s">
        <v>67</v>
      </c>
      <c r="F86" t="s">
        <v>559</v>
      </c>
      <c r="G86" t="str">
        <f t="shared" si="1"/>
        <v>Employed</v>
      </c>
      <c r="W86" t="s">
        <v>794</v>
      </c>
    </row>
    <row r="87" spans="1:23" x14ac:dyDescent="0.25">
      <c r="A87" t="s">
        <v>554</v>
      </c>
      <c r="B87" t="s">
        <v>554</v>
      </c>
      <c r="C87" t="s">
        <v>43</v>
      </c>
      <c r="D87" s="1" t="s">
        <v>750</v>
      </c>
      <c r="E87" s="1" t="s">
        <v>658</v>
      </c>
      <c r="F87" t="s">
        <v>560</v>
      </c>
      <c r="G87" t="str">
        <f t="shared" si="1"/>
        <v>EmploymentType</v>
      </c>
      <c r="W87" t="s">
        <v>794</v>
      </c>
    </row>
    <row r="88" spans="1:23" x14ac:dyDescent="0.25">
      <c r="A88" t="s">
        <v>554</v>
      </c>
      <c r="B88" t="s">
        <v>554</v>
      </c>
      <c r="C88" t="s">
        <v>44</v>
      </c>
      <c r="D88" s="1" t="s">
        <v>750</v>
      </c>
      <c r="E88" s="1" t="s">
        <v>659</v>
      </c>
      <c r="F88" t="s">
        <v>561</v>
      </c>
      <c r="G88" t="str">
        <f t="shared" si="1"/>
        <v>NotEmployedReason</v>
      </c>
      <c r="W88" t="s">
        <v>794</v>
      </c>
    </row>
    <row r="89" spans="1:23" x14ac:dyDescent="0.25">
      <c r="A89" t="s">
        <v>554</v>
      </c>
      <c r="B89" t="s">
        <v>554</v>
      </c>
      <c r="C89" t="s">
        <v>555</v>
      </c>
      <c r="D89" t="s">
        <v>750</v>
      </c>
      <c r="E89" t="s">
        <v>64</v>
      </c>
      <c r="F89" t="s">
        <v>539</v>
      </c>
      <c r="G89" t="str">
        <f t="shared" si="1"/>
        <v>InformationDate</v>
      </c>
      <c r="W89" t="s">
        <v>794</v>
      </c>
    </row>
    <row r="90" spans="1:23" x14ac:dyDescent="0.25">
      <c r="A90" t="s">
        <v>783</v>
      </c>
      <c r="B90" t="s">
        <v>91</v>
      </c>
      <c r="C90" t="s">
        <v>239</v>
      </c>
      <c r="D90" s="1" t="s">
        <v>685</v>
      </c>
      <c r="E90" s="1" t="s">
        <v>64</v>
      </c>
      <c r="F90" t="s">
        <v>240</v>
      </c>
      <c r="G90" t="str">
        <f t="shared" si="1"/>
        <v>LivingSituation</v>
      </c>
      <c r="W90" t="s">
        <v>794</v>
      </c>
    </row>
    <row r="91" spans="1:23" x14ac:dyDescent="0.25">
      <c r="A91" t="s">
        <v>783</v>
      </c>
      <c r="B91" t="s">
        <v>91</v>
      </c>
      <c r="C91" t="s">
        <v>241</v>
      </c>
      <c r="D91" s="1" t="s">
        <v>685</v>
      </c>
      <c r="E91" s="1" t="s">
        <v>658</v>
      </c>
      <c r="F91" t="s">
        <v>242</v>
      </c>
      <c r="G91" t="str">
        <f t="shared" si="1"/>
        <v>RentalSubsidyType</v>
      </c>
      <c r="W91" t="s">
        <v>794</v>
      </c>
    </row>
    <row r="92" spans="1:23" x14ac:dyDescent="0.25">
      <c r="A92" t="s">
        <v>783</v>
      </c>
      <c r="B92" t="s">
        <v>91</v>
      </c>
      <c r="C92" t="s">
        <v>21</v>
      </c>
      <c r="D92" s="1" t="s">
        <v>685</v>
      </c>
      <c r="E92" s="1" t="s">
        <v>67</v>
      </c>
      <c r="F92" t="s">
        <v>243</v>
      </c>
      <c r="G92" t="str">
        <f t="shared" si="1"/>
        <v>LengthOfStay</v>
      </c>
      <c r="W92" t="s">
        <v>794</v>
      </c>
    </row>
    <row r="93" spans="1:23" x14ac:dyDescent="0.25">
      <c r="A93" t="s">
        <v>783</v>
      </c>
      <c r="B93" t="s">
        <v>91</v>
      </c>
      <c r="C93" t="s">
        <v>244</v>
      </c>
      <c r="D93" s="1" t="s">
        <v>685</v>
      </c>
      <c r="E93" s="1" t="s">
        <v>686</v>
      </c>
      <c r="F93" t="s">
        <v>245</v>
      </c>
      <c r="G93" t="str">
        <f t="shared" si="1"/>
        <v>LOSUnderThreshold</v>
      </c>
      <c r="W93" t="s">
        <v>794</v>
      </c>
    </row>
    <row r="94" spans="1:23" x14ac:dyDescent="0.25">
      <c r="A94" t="s">
        <v>783</v>
      </c>
      <c r="B94" t="s">
        <v>91</v>
      </c>
      <c r="C94" t="s">
        <v>246</v>
      </c>
      <c r="D94" s="1" t="s">
        <v>685</v>
      </c>
      <c r="E94" s="1" t="s">
        <v>687</v>
      </c>
      <c r="F94" t="s">
        <v>245</v>
      </c>
      <c r="G94" t="str">
        <f t="shared" si="1"/>
        <v>LOSUnderThreshold</v>
      </c>
      <c r="W94" t="s">
        <v>794</v>
      </c>
    </row>
    <row r="95" spans="1:23" x14ac:dyDescent="0.25">
      <c r="A95" t="s">
        <v>783</v>
      </c>
      <c r="B95" t="s">
        <v>91</v>
      </c>
      <c r="C95" t="s">
        <v>247</v>
      </c>
      <c r="D95" s="1" t="s">
        <v>685</v>
      </c>
      <c r="E95" s="1" t="s">
        <v>688</v>
      </c>
      <c r="F95" t="s">
        <v>248</v>
      </c>
      <c r="G95" t="str">
        <f t="shared" si="1"/>
        <v>PreviousStreetESSH</v>
      </c>
      <c r="W95" t="s">
        <v>794</v>
      </c>
    </row>
    <row r="96" spans="1:23" x14ac:dyDescent="0.25">
      <c r="A96" t="s">
        <v>783</v>
      </c>
      <c r="B96" t="s">
        <v>91</v>
      </c>
      <c r="C96" t="s">
        <v>22</v>
      </c>
      <c r="D96" s="1" t="s">
        <v>685</v>
      </c>
      <c r="E96" s="1" t="s">
        <v>69</v>
      </c>
      <c r="F96" t="s">
        <v>251</v>
      </c>
      <c r="G96" t="str">
        <f t="shared" si="1"/>
        <v>TimesHomelessPastThreeYears</v>
      </c>
      <c r="W96" t="s">
        <v>794</v>
      </c>
    </row>
    <row r="97" spans="1:23" x14ac:dyDescent="0.25">
      <c r="A97" t="s">
        <v>783</v>
      </c>
      <c r="B97" t="s">
        <v>91</v>
      </c>
      <c r="C97" t="s">
        <v>23</v>
      </c>
      <c r="D97" s="1" t="s">
        <v>685</v>
      </c>
      <c r="E97" s="1" t="s">
        <v>656</v>
      </c>
      <c r="F97" t="s">
        <v>252</v>
      </c>
      <c r="G97" t="str">
        <f t="shared" si="1"/>
        <v>MonthsHomelessPastThreeYears</v>
      </c>
      <c r="W97" t="s">
        <v>794</v>
      </c>
    </row>
    <row r="98" spans="1:23" x14ac:dyDescent="0.25">
      <c r="A98" t="s">
        <v>783</v>
      </c>
      <c r="B98" t="s">
        <v>91</v>
      </c>
      <c r="C98" t="s">
        <v>253</v>
      </c>
      <c r="D98" s="1">
        <v>3.08</v>
      </c>
      <c r="F98" t="s">
        <v>254</v>
      </c>
      <c r="G98" t="str">
        <f t="shared" si="1"/>
        <v>DisablingCondition</v>
      </c>
      <c r="W98" t="s">
        <v>794</v>
      </c>
    </row>
    <row r="99" spans="1:23" x14ac:dyDescent="0.25">
      <c r="A99" t="s">
        <v>783</v>
      </c>
      <c r="B99" t="s">
        <v>342</v>
      </c>
      <c r="C99" t="s">
        <v>18</v>
      </c>
      <c r="D99" s="1" t="s">
        <v>718</v>
      </c>
      <c r="E99" s="1" t="s">
        <v>64</v>
      </c>
      <c r="F99" t="s">
        <v>345</v>
      </c>
      <c r="G99" t="str">
        <f t="shared" si="1"/>
        <v>Destination</v>
      </c>
      <c r="W99" t="s">
        <v>794</v>
      </c>
    </row>
    <row r="100" spans="1:23" x14ac:dyDescent="0.25">
      <c r="A100" t="s">
        <v>783</v>
      </c>
      <c r="B100" t="s">
        <v>342</v>
      </c>
      <c r="C100" t="s">
        <v>19</v>
      </c>
      <c r="D100" s="1" t="s">
        <v>718</v>
      </c>
      <c r="E100" s="1" t="s">
        <v>658</v>
      </c>
      <c r="F100" t="s">
        <v>346</v>
      </c>
      <c r="G100" t="str">
        <f t="shared" si="1"/>
        <v>DestinationSubsidyType</v>
      </c>
      <c r="W100" t="s">
        <v>794</v>
      </c>
    </row>
    <row r="101" spans="1:23" x14ac:dyDescent="0.25">
      <c r="A101" t="s">
        <v>783</v>
      </c>
      <c r="B101" t="s">
        <v>342</v>
      </c>
      <c r="C101" t="s">
        <v>63</v>
      </c>
      <c r="D101" s="1" t="s">
        <v>719</v>
      </c>
      <c r="E101" s="1" t="s">
        <v>64</v>
      </c>
      <c r="F101" t="s">
        <v>169</v>
      </c>
      <c r="G101" t="str">
        <f t="shared" si="1"/>
        <v>HousingAssessment</v>
      </c>
      <c r="W101" t="s">
        <v>794</v>
      </c>
    </row>
    <row r="102" spans="1:23" x14ac:dyDescent="0.25">
      <c r="A102" t="s">
        <v>783</v>
      </c>
      <c r="B102" t="s">
        <v>342</v>
      </c>
      <c r="C102" t="s">
        <v>349</v>
      </c>
      <c r="D102" s="1" t="s">
        <v>719</v>
      </c>
      <c r="E102" s="1" t="s">
        <v>658</v>
      </c>
      <c r="F102" t="s">
        <v>350</v>
      </c>
      <c r="G102" t="str">
        <f t="shared" si="1"/>
        <v>SubsidyInformation</v>
      </c>
      <c r="W102" t="s">
        <v>794</v>
      </c>
    </row>
    <row r="103" spans="1:23" x14ac:dyDescent="0.25">
      <c r="A103" t="s">
        <v>783</v>
      </c>
      <c r="B103" t="s">
        <v>342</v>
      </c>
      <c r="C103" t="s">
        <v>351</v>
      </c>
      <c r="D103" s="1" t="s">
        <v>719</v>
      </c>
      <c r="E103" s="1" t="s">
        <v>659</v>
      </c>
      <c r="F103" t="s">
        <v>350</v>
      </c>
      <c r="G103" t="str">
        <f t="shared" si="1"/>
        <v>SubsidyInformation</v>
      </c>
      <c r="W103" t="s">
        <v>794</v>
      </c>
    </row>
    <row r="104" spans="1:23" x14ac:dyDescent="0.25">
      <c r="A104" t="s">
        <v>783</v>
      </c>
      <c r="B104" t="s">
        <v>342</v>
      </c>
      <c r="C104" t="s">
        <v>37</v>
      </c>
      <c r="D104" s="1" t="s">
        <v>720</v>
      </c>
      <c r="E104" s="1" t="s">
        <v>64</v>
      </c>
      <c r="F104" t="s">
        <v>352</v>
      </c>
      <c r="G104" t="str">
        <f t="shared" si="1"/>
        <v>ProjectCompletionStatus</v>
      </c>
      <c r="W104" t="s">
        <v>794</v>
      </c>
    </row>
    <row r="105" spans="1:23" x14ac:dyDescent="0.25">
      <c r="A105" t="s">
        <v>783</v>
      </c>
      <c r="B105" t="s">
        <v>342</v>
      </c>
      <c r="C105" t="s">
        <v>38</v>
      </c>
      <c r="D105" s="1" t="s">
        <v>720</v>
      </c>
      <c r="E105" s="1" t="s">
        <v>658</v>
      </c>
      <c r="F105" t="s">
        <v>353</v>
      </c>
      <c r="G105" t="str">
        <f t="shared" si="1"/>
        <v>EarlyExitReason</v>
      </c>
      <c r="W105" t="s">
        <v>794</v>
      </c>
    </row>
    <row r="106" spans="1:23" x14ac:dyDescent="0.25">
      <c r="A106" t="s">
        <v>783</v>
      </c>
      <c r="B106" t="s">
        <v>342</v>
      </c>
      <c r="C106" t="s">
        <v>354</v>
      </c>
      <c r="D106" s="1" t="s">
        <v>721</v>
      </c>
      <c r="E106" s="1" t="s">
        <v>64</v>
      </c>
      <c r="F106" t="s">
        <v>355</v>
      </c>
      <c r="G106" t="str">
        <f t="shared" si="1"/>
        <v>ExchangeForSex</v>
      </c>
      <c r="W106" t="s">
        <v>794</v>
      </c>
    </row>
    <row r="107" spans="1:23" x14ac:dyDescent="0.25">
      <c r="A107" t="s">
        <v>783</v>
      </c>
      <c r="B107" t="s">
        <v>342</v>
      </c>
      <c r="C107" t="s">
        <v>356</v>
      </c>
      <c r="D107" s="1" t="s">
        <v>721</v>
      </c>
      <c r="E107" s="1" t="s">
        <v>658</v>
      </c>
      <c r="F107" t="s">
        <v>357</v>
      </c>
      <c r="G107" t="str">
        <f t="shared" si="1"/>
        <v>ExchangeForSexPastThreeMonths</v>
      </c>
      <c r="W107" t="s">
        <v>794</v>
      </c>
    </row>
    <row r="108" spans="1:23" x14ac:dyDescent="0.25">
      <c r="A108" t="s">
        <v>783</v>
      </c>
      <c r="B108" t="s">
        <v>342</v>
      </c>
      <c r="C108" t="s">
        <v>36</v>
      </c>
      <c r="D108" s="1" t="s">
        <v>721</v>
      </c>
      <c r="E108" s="1" t="s">
        <v>659</v>
      </c>
      <c r="F108" t="s">
        <v>358</v>
      </c>
      <c r="G108" t="str">
        <f t="shared" si="1"/>
        <v>CountOfExchangeForSex</v>
      </c>
      <c r="W108" t="s">
        <v>794</v>
      </c>
    </row>
    <row r="109" spans="1:23" x14ac:dyDescent="0.25">
      <c r="A109" t="s">
        <v>783</v>
      </c>
      <c r="B109" t="s">
        <v>342</v>
      </c>
      <c r="C109" t="s">
        <v>359</v>
      </c>
      <c r="D109" s="1" t="s">
        <v>721</v>
      </c>
      <c r="E109" s="1" t="s">
        <v>669</v>
      </c>
      <c r="F109" t="s">
        <v>360</v>
      </c>
      <c r="G109" t="str">
        <f t="shared" si="1"/>
        <v>AskedOrForcedToExchangeForSex</v>
      </c>
      <c r="W109" t="s">
        <v>794</v>
      </c>
    </row>
    <row r="110" spans="1:23" x14ac:dyDescent="0.25">
      <c r="A110" t="s">
        <v>783</v>
      </c>
      <c r="B110" t="s">
        <v>342</v>
      </c>
      <c r="C110" t="s">
        <v>361</v>
      </c>
      <c r="D110" s="1" t="s">
        <v>721</v>
      </c>
      <c r="E110" s="1" t="s">
        <v>104</v>
      </c>
      <c r="F110" t="s">
        <v>362</v>
      </c>
      <c r="G110" t="str">
        <f t="shared" si="1"/>
        <v>AskedOrForcedToExchangeForSexPastThreeMonths</v>
      </c>
      <c r="W110" t="s">
        <v>794</v>
      </c>
    </row>
    <row r="111" spans="1:23" x14ac:dyDescent="0.25">
      <c r="A111" t="s">
        <v>783</v>
      </c>
      <c r="B111" t="s">
        <v>342</v>
      </c>
      <c r="C111" t="s">
        <v>363</v>
      </c>
      <c r="D111" s="1" t="s">
        <v>722</v>
      </c>
      <c r="E111" s="1" t="s">
        <v>64</v>
      </c>
      <c r="F111" t="s">
        <v>364</v>
      </c>
      <c r="G111" t="str">
        <f t="shared" si="1"/>
        <v>WorkplaceViolenceThreats</v>
      </c>
      <c r="W111" t="s">
        <v>794</v>
      </c>
    </row>
    <row r="112" spans="1:23" x14ac:dyDescent="0.25">
      <c r="A112" t="s">
        <v>783</v>
      </c>
      <c r="B112" t="s">
        <v>342</v>
      </c>
      <c r="C112" t="s">
        <v>365</v>
      </c>
      <c r="D112" s="1" t="s">
        <v>722</v>
      </c>
      <c r="E112" s="1" t="s">
        <v>67</v>
      </c>
      <c r="F112" t="s">
        <v>366</v>
      </c>
      <c r="G112" t="str">
        <f t="shared" si="1"/>
        <v>WorkplacePromiseDifference</v>
      </c>
      <c r="W112" t="s">
        <v>794</v>
      </c>
    </row>
    <row r="113" spans="1:23" x14ac:dyDescent="0.25">
      <c r="A113" t="s">
        <v>783</v>
      </c>
      <c r="B113" t="s">
        <v>342</v>
      </c>
      <c r="C113" t="s">
        <v>367</v>
      </c>
      <c r="D113" s="1" t="s">
        <v>722</v>
      </c>
      <c r="E113" s="1" t="s">
        <v>658</v>
      </c>
      <c r="F113" t="s">
        <v>368</v>
      </c>
      <c r="G113" t="str">
        <f t="shared" si="1"/>
        <v>CoercedToContinueWork</v>
      </c>
      <c r="W113" t="s">
        <v>794</v>
      </c>
    </row>
    <row r="114" spans="1:23" x14ac:dyDescent="0.25">
      <c r="A114" t="s">
        <v>783</v>
      </c>
      <c r="B114" t="s">
        <v>342</v>
      </c>
      <c r="C114" t="s">
        <v>369</v>
      </c>
      <c r="D114" s="1" t="s">
        <v>722</v>
      </c>
      <c r="E114" s="1" t="s">
        <v>659</v>
      </c>
      <c r="F114" t="s">
        <v>370</v>
      </c>
      <c r="G114" t="str">
        <f t="shared" si="1"/>
        <v>LaborExploitPastThreeMonths</v>
      </c>
      <c r="W114" t="s">
        <v>794</v>
      </c>
    </row>
    <row r="115" spans="1:23" x14ac:dyDescent="0.25">
      <c r="A115" t="s">
        <v>783</v>
      </c>
      <c r="B115" t="s">
        <v>342</v>
      </c>
      <c r="C115" t="s">
        <v>371</v>
      </c>
      <c r="D115" s="1" t="s">
        <v>723</v>
      </c>
      <c r="E115" s="1" t="s">
        <v>64</v>
      </c>
      <c r="F115" t="s">
        <v>372</v>
      </c>
      <c r="G115" t="str">
        <f t="shared" si="1"/>
        <v>CounselingReceived</v>
      </c>
      <c r="W115" t="s">
        <v>794</v>
      </c>
    </row>
    <row r="116" spans="1:23" x14ac:dyDescent="0.25">
      <c r="A116" t="s">
        <v>783</v>
      </c>
      <c r="B116" t="s">
        <v>342</v>
      </c>
      <c r="C116" t="s">
        <v>373</v>
      </c>
      <c r="D116" s="1" t="s">
        <v>723</v>
      </c>
      <c r="E116" s="1" t="s">
        <v>658</v>
      </c>
      <c r="F116" t="s">
        <v>374</v>
      </c>
      <c r="G116" t="str">
        <f t="shared" si="1"/>
        <v>IndividualCounseling</v>
      </c>
      <c r="W116" t="s">
        <v>794</v>
      </c>
    </row>
    <row r="117" spans="1:23" x14ac:dyDescent="0.25">
      <c r="A117" t="s">
        <v>783</v>
      </c>
      <c r="B117" t="s">
        <v>342</v>
      </c>
      <c r="C117" t="s">
        <v>373</v>
      </c>
      <c r="D117" s="1" t="s">
        <v>723</v>
      </c>
      <c r="E117" s="1" t="s">
        <v>658</v>
      </c>
      <c r="F117" t="s">
        <v>375</v>
      </c>
      <c r="G117" t="str">
        <f t="shared" si="1"/>
        <v>FamilyCounseling</v>
      </c>
      <c r="W117" t="s">
        <v>794</v>
      </c>
    </row>
    <row r="118" spans="1:23" x14ac:dyDescent="0.25">
      <c r="A118" t="s">
        <v>783</v>
      </c>
      <c r="B118" t="s">
        <v>342</v>
      </c>
      <c r="C118" t="s">
        <v>373</v>
      </c>
      <c r="D118" s="1" t="s">
        <v>723</v>
      </c>
      <c r="E118" s="1" t="s">
        <v>658</v>
      </c>
      <c r="F118" t="s">
        <v>376</v>
      </c>
      <c r="G118" t="str">
        <f t="shared" si="1"/>
        <v>GroupCounseling</v>
      </c>
      <c r="W118" t="s">
        <v>794</v>
      </c>
    </row>
    <row r="119" spans="1:23" x14ac:dyDescent="0.25">
      <c r="A119" t="s">
        <v>783</v>
      </c>
      <c r="B119" t="s">
        <v>342</v>
      </c>
      <c r="C119" t="s">
        <v>379</v>
      </c>
      <c r="D119" s="1" t="s">
        <v>723</v>
      </c>
      <c r="E119" s="1" t="s">
        <v>68</v>
      </c>
      <c r="F119" t="s">
        <v>380</v>
      </c>
      <c r="G119" t="str">
        <f t="shared" si="1"/>
        <v>PostExitCounselingPlan</v>
      </c>
      <c r="W119" t="s">
        <v>794</v>
      </c>
    </row>
    <row r="120" spans="1:23" x14ac:dyDescent="0.25">
      <c r="A120" t="s">
        <v>783</v>
      </c>
      <c r="B120" t="s">
        <v>342</v>
      </c>
      <c r="C120" t="s">
        <v>383</v>
      </c>
      <c r="D120" s="1" t="s">
        <v>725</v>
      </c>
      <c r="E120" s="1" t="s">
        <v>64</v>
      </c>
      <c r="F120" t="s">
        <v>384</v>
      </c>
      <c r="G120" t="str">
        <f t="shared" si="1"/>
        <v>DestinationSafeClient</v>
      </c>
      <c r="W120" t="s">
        <v>794</v>
      </c>
    </row>
    <row r="121" spans="1:23" x14ac:dyDescent="0.25">
      <c r="A121" t="s">
        <v>783</v>
      </c>
      <c r="B121" t="s">
        <v>342</v>
      </c>
      <c r="C121" t="s">
        <v>385</v>
      </c>
      <c r="D121" s="1" t="s">
        <v>725</v>
      </c>
      <c r="E121" s="1" t="s">
        <v>67</v>
      </c>
      <c r="F121" t="s">
        <v>386</v>
      </c>
      <c r="G121" t="str">
        <f t="shared" si="1"/>
        <v>DestinationSafeWorker</v>
      </c>
      <c r="W121" t="s">
        <v>794</v>
      </c>
    </row>
    <row r="122" spans="1:23" x14ac:dyDescent="0.25">
      <c r="A122" t="s">
        <v>783</v>
      </c>
      <c r="B122" t="s">
        <v>342</v>
      </c>
      <c r="C122" t="s">
        <v>387</v>
      </c>
      <c r="D122" s="1" t="s">
        <v>725</v>
      </c>
      <c r="E122" s="1" t="s">
        <v>68</v>
      </c>
      <c r="F122" t="s">
        <v>388</v>
      </c>
      <c r="G122" t="str">
        <f t="shared" si="1"/>
        <v>PosAdultConnections</v>
      </c>
      <c r="W122" t="s">
        <v>794</v>
      </c>
    </row>
    <row r="123" spans="1:23" x14ac:dyDescent="0.25">
      <c r="A123" t="s">
        <v>783</v>
      </c>
      <c r="B123" t="s">
        <v>342</v>
      </c>
      <c r="C123" t="s">
        <v>389</v>
      </c>
      <c r="D123" s="1" t="s">
        <v>725</v>
      </c>
      <c r="E123" s="1" t="s">
        <v>69</v>
      </c>
      <c r="F123" t="s">
        <v>390</v>
      </c>
      <c r="G123" t="str">
        <f t="shared" si="1"/>
        <v>PosPeerConnections</v>
      </c>
      <c r="W123" t="s">
        <v>794</v>
      </c>
    </row>
    <row r="124" spans="1:23" x14ac:dyDescent="0.25">
      <c r="A124" t="s">
        <v>783</v>
      </c>
      <c r="B124" t="s">
        <v>342</v>
      </c>
      <c r="C124" t="s">
        <v>391</v>
      </c>
      <c r="D124" s="1" t="s">
        <v>725</v>
      </c>
      <c r="E124" s="1" t="s">
        <v>656</v>
      </c>
      <c r="F124" t="s">
        <v>392</v>
      </c>
      <c r="G124" t="str">
        <f t="shared" si="1"/>
        <v>PosCommunityConnections</v>
      </c>
      <c r="W124" t="s">
        <v>794</v>
      </c>
    </row>
    <row r="125" spans="1:23" x14ac:dyDescent="0.25">
      <c r="A125" t="s">
        <v>783</v>
      </c>
      <c r="B125" t="s">
        <v>342</v>
      </c>
      <c r="C125" t="s">
        <v>40</v>
      </c>
      <c r="D125" s="1" t="s">
        <v>726</v>
      </c>
      <c r="E125" s="1" t="s">
        <v>67</v>
      </c>
      <c r="F125" t="s">
        <v>395</v>
      </c>
      <c r="G125" t="str">
        <f t="shared" si="1"/>
        <v>AftercareProvided</v>
      </c>
      <c r="W125" t="s">
        <v>794</v>
      </c>
    </row>
    <row r="126" spans="1:23" x14ac:dyDescent="0.25">
      <c r="A126" t="s">
        <v>783</v>
      </c>
      <c r="B126" t="s">
        <v>342</v>
      </c>
      <c r="C126" t="s">
        <v>396</v>
      </c>
      <c r="D126" s="1" t="s">
        <v>726</v>
      </c>
      <c r="E126" s="1" t="s">
        <v>658</v>
      </c>
      <c r="F126" t="s">
        <v>397</v>
      </c>
      <c r="G126" t="str">
        <f t="shared" si="1"/>
        <v>EmailSocialMedia</v>
      </c>
      <c r="W126" t="s">
        <v>794</v>
      </c>
    </row>
    <row r="127" spans="1:23" x14ac:dyDescent="0.25">
      <c r="A127" t="s">
        <v>783</v>
      </c>
      <c r="B127" t="s">
        <v>342</v>
      </c>
      <c r="C127" t="s">
        <v>396</v>
      </c>
      <c r="D127" s="1" t="s">
        <v>726</v>
      </c>
      <c r="E127" s="1" t="s">
        <v>658</v>
      </c>
      <c r="F127" t="s">
        <v>398</v>
      </c>
      <c r="G127" t="str">
        <f t="shared" si="1"/>
        <v>Telephone</v>
      </c>
      <c r="W127" t="s">
        <v>794</v>
      </c>
    </row>
    <row r="128" spans="1:23" x14ac:dyDescent="0.25">
      <c r="A128" t="s">
        <v>783</v>
      </c>
      <c r="B128" t="s">
        <v>342</v>
      </c>
      <c r="C128" t="s">
        <v>396</v>
      </c>
      <c r="D128" s="1" t="s">
        <v>726</v>
      </c>
      <c r="E128" s="1" t="s">
        <v>658</v>
      </c>
      <c r="F128" t="s">
        <v>399</v>
      </c>
      <c r="G128" t="str">
        <f t="shared" si="1"/>
        <v>InPersonIndividual</v>
      </c>
      <c r="W128" t="s">
        <v>794</v>
      </c>
    </row>
    <row r="129" spans="1:23" x14ac:dyDescent="0.25">
      <c r="A129" t="s">
        <v>783</v>
      </c>
      <c r="B129" t="s">
        <v>342</v>
      </c>
      <c r="C129" t="s">
        <v>396</v>
      </c>
      <c r="D129" s="1" t="s">
        <v>726</v>
      </c>
      <c r="E129" s="1" t="s">
        <v>658</v>
      </c>
      <c r="F129" t="s">
        <v>400</v>
      </c>
      <c r="G129" t="str">
        <f t="shared" si="1"/>
        <v>InPersonGroup</v>
      </c>
      <c r="W129" t="s">
        <v>794</v>
      </c>
    </row>
    <row r="130" spans="1:23" x14ac:dyDescent="0.25">
      <c r="A130" t="s">
        <v>783</v>
      </c>
      <c r="B130" t="s">
        <v>342</v>
      </c>
      <c r="C130" t="s">
        <v>60</v>
      </c>
      <c r="D130" s="1" t="s">
        <v>727</v>
      </c>
      <c r="E130" s="1" t="s">
        <v>64</v>
      </c>
      <c r="F130" t="s">
        <v>401</v>
      </c>
      <c r="G130" t="str">
        <f t="shared" si="1"/>
        <v>CMExitReason</v>
      </c>
      <c r="W130" t="s">
        <v>794</v>
      </c>
    </row>
    <row r="131" spans="1:23" x14ac:dyDescent="0.25">
      <c r="A131" t="s">
        <v>783</v>
      </c>
      <c r="B131" t="s">
        <v>643</v>
      </c>
      <c r="C131" t="s">
        <v>31</v>
      </c>
      <c r="D131" s="1" t="s">
        <v>771</v>
      </c>
      <c r="E131" s="1" t="s">
        <v>67</v>
      </c>
      <c r="F131" t="s">
        <v>645</v>
      </c>
      <c r="G131" t="str">
        <f t="shared" ref="G131:G194" si="2">F131</f>
        <v>CurrentSchoolAttend</v>
      </c>
      <c r="W131" t="s">
        <v>794</v>
      </c>
    </row>
    <row r="132" spans="1:23" x14ac:dyDescent="0.25">
      <c r="A132" t="s">
        <v>783</v>
      </c>
      <c r="B132" t="s">
        <v>643</v>
      </c>
      <c r="C132" t="s">
        <v>32</v>
      </c>
      <c r="D132" s="1" t="s">
        <v>771</v>
      </c>
      <c r="E132" s="1" t="s">
        <v>658</v>
      </c>
      <c r="F132" t="s">
        <v>646</v>
      </c>
      <c r="G132" t="str">
        <f t="shared" si="2"/>
        <v>MostRecentEdStatus</v>
      </c>
      <c r="W132" t="s">
        <v>794</v>
      </c>
    </row>
    <row r="133" spans="1:23" x14ac:dyDescent="0.25">
      <c r="A133" t="s">
        <v>783</v>
      </c>
      <c r="B133" t="s">
        <v>643</v>
      </c>
      <c r="C133" t="s">
        <v>33</v>
      </c>
      <c r="D133" s="1" t="s">
        <v>771</v>
      </c>
      <c r="E133" s="1" t="s">
        <v>659</v>
      </c>
      <c r="F133" t="s">
        <v>647</v>
      </c>
      <c r="G133" t="str">
        <f t="shared" si="2"/>
        <v>CurrentEdStatus</v>
      </c>
      <c r="W133" t="s">
        <v>794</v>
      </c>
    </row>
    <row r="134" spans="1:23" x14ac:dyDescent="0.25">
      <c r="A134" t="s">
        <v>783</v>
      </c>
      <c r="B134" t="s">
        <v>91</v>
      </c>
      <c r="C134" t="s">
        <v>232</v>
      </c>
      <c r="D134" t="s">
        <v>681</v>
      </c>
      <c r="E134" t="s">
        <v>64</v>
      </c>
      <c r="F134" t="s">
        <v>233</v>
      </c>
      <c r="G134" t="str">
        <f t="shared" si="2"/>
        <v>EntryDate</v>
      </c>
      <c r="N134" t="s">
        <v>794</v>
      </c>
      <c r="O134" t="s">
        <v>794</v>
      </c>
      <c r="P134" t="s">
        <v>794</v>
      </c>
      <c r="Q134" t="s">
        <v>794</v>
      </c>
      <c r="T134" t="s">
        <v>794</v>
      </c>
      <c r="U134" t="s">
        <v>794</v>
      </c>
      <c r="V134" t="s">
        <v>794</v>
      </c>
      <c r="W134" t="s">
        <v>794</v>
      </c>
    </row>
    <row r="135" spans="1:23" x14ac:dyDescent="0.25">
      <c r="A135" t="s">
        <v>783</v>
      </c>
      <c r="B135" t="s">
        <v>91</v>
      </c>
      <c r="C135" t="s">
        <v>237</v>
      </c>
      <c r="D135" t="s">
        <v>684</v>
      </c>
      <c r="E135" t="s">
        <v>680</v>
      </c>
      <c r="F135" t="s">
        <v>238</v>
      </c>
      <c r="G135" t="str">
        <f t="shared" si="2"/>
        <v>EnrollmentCoC</v>
      </c>
      <c r="Q135" t="s">
        <v>794</v>
      </c>
      <c r="W135" t="s">
        <v>794</v>
      </c>
    </row>
    <row r="136" spans="1:23" x14ac:dyDescent="0.25">
      <c r="A136" t="s">
        <v>783</v>
      </c>
      <c r="B136" t="s">
        <v>91</v>
      </c>
      <c r="C136" t="s">
        <v>249</v>
      </c>
      <c r="D136" t="s">
        <v>685</v>
      </c>
      <c r="E136" t="s">
        <v>68</v>
      </c>
      <c r="F136" t="s">
        <v>250</v>
      </c>
      <c r="G136" t="str">
        <f t="shared" si="2"/>
        <v>DateToStreetESSH</v>
      </c>
      <c r="W136" t="s">
        <v>794</v>
      </c>
    </row>
    <row r="137" spans="1:23" x14ac:dyDescent="0.25">
      <c r="A137" t="s">
        <v>783</v>
      </c>
      <c r="B137" t="s">
        <v>91</v>
      </c>
      <c r="C137" t="s">
        <v>255</v>
      </c>
      <c r="D137" t="s">
        <v>689</v>
      </c>
      <c r="E137" t="s">
        <v>64</v>
      </c>
      <c r="F137" t="s">
        <v>256</v>
      </c>
      <c r="G137" t="str">
        <f t="shared" si="2"/>
        <v>DateOfEngagement</v>
      </c>
      <c r="W137" t="s">
        <v>794</v>
      </c>
    </row>
    <row r="138" spans="1:23" x14ac:dyDescent="0.25">
      <c r="A138" t="s">
        <v>783</v>
      </c>
      <c r="B138" t="s">
        <v>91</v>
      </c>
      <c r="C138" t="s">
        <v>257</v>
      </c>
      <c r="D138" t="s">
        <v>690</v>
      </c>
      <c r="E138" t="s">
        <v>64</v>
      </c>
      <c r="F138" t="s">
        <v>258</v>
      </c>
      <c r="G138" t="str">
        <f t="shared" si="2"/>
        <v>MoveInDate</v>
      </c>
      <c r="W138" t="s">
        <v>794</v>
      </c>
    </row>
    <row r="139" spans="1:23" x14ac:dyDescent="0.25">
      <c r="A139" t="s">
        <v>783</v>
      </c>
      <c r="B139" t="s">
        <v>342</v>
      </c>
      <c r="C139" t="s">
        <v>343</v>
      </c>
      <c r="D139" t="s">
        <v>717</v>
      </c>
      <c r="E139" t="s">
        <v>64</v>
      </c>
      <c r="F139" t="s">
        <v>344</v>
      </c>
      <c r="G139" t="str">
        <f t="shared" si="2"/>
        <v>ExitDate</v>
      </c>
      <c r="N139" t="s">
        <v>794</v>
      </c>
      <c r="O139" t="s">
        <v>794</v>
      </c>
      <c r="P139" t="s">
        <v>794</v>
      </c>
      <c r="Q139" t="s">
        <v>794</v>
      </c>
      <c r="T139" t="s">
        <v>794</v>
      </c>
      <c r="U139" t="s">
        <v>794</v>
      </c>
      <c r="V139" t="s">
        <v>794</v>
      </c>
      <c r="W139" t="s">
        <v>794</v>
      </c>
    </row>
    <row r="140" spans="1:23" x14ac:dyDescent="0.25">
      <c r="A140" t="s">
        <v>783</v>
      </c>
      <c r="B140" t="s">
        <v>342</v>
      </c>
      <c r="C140" t="s">
        <v>347</v>
      </c>
      <c r="D140" t="s">
        <v>718</v>
      </c>
      <c r="E140" t="s">
        <v>659</v>
      </c>
      <c r="F140" t="s">
        <v>348</v>
      </c>
      <c r="G140" t="str">
        <f t="shared" si="2"/>
        <v>OtherDestination</v>
      </c>
      <c r="W140" t="s">
        <v>794</v>
      </c>
    </row>
    <row r="141" spans="1:23" x14ac:dyDescent="0.25">
      <c r="A141" t="s">
        <v>783</v>
      </c>
      <c r="B141" t="s">
        <v>342</v>
      </c>
      <c r="C141" t="s">
        <v>377</v>
      </c>
      <c r="D141" t="s">
        <v>723</v>
      </c>
      <c r="E141" t="s">
        <v>724</v>
      </c>
      <c r="F141" t="s">
        <v>378</v>
      </c>
      <c r="G141" t="str">
        <f t="shared" si="2"/>
        <v>SessionCountAtExit</v>
      </c>
      <c r="W141" t="s">
        <v>794</v>
      </c>
    </row>
    <row r="142" spans="1:23" x14ac:dyDescent="0.25">
      <c r="A142" t="s">
        <v>783</v>
      </c>
      <c r="B142" t="s">
        <v>342</v>
      </c>
      <c r="C142" t="s">
        <v>381</v>
      </c>
      <c r="D142" t="s">
        <v>723</v>
      </c>
      <c r="E142" t="s">
        <v>67</v>
      </c>
      <c r="F142" t="s">
        <v>382</v>
      </c>
      <c r="G142" t="str">
        <f t="shared" si="2"/>
        <v>SessionsInPlan</v>
      </c>
      <c r="W142" t="s">
        <v>794</v>
      </c>
    </row>
    <row r="143" spans="1:23" x14ac:dyDescent="0.25">
      <c r="A143" t="s">
        <v>783</v>
      </c>
      <c r="B143" t="s">
        <v>342</v>
      </c>
      <c r="C143" t="s">
        <v>393</v>
      </c>
      <c r="D143" t="s">
        <v>726</v>
      </c>
      <c r="E143" t="s">
        <v>680</v>
      </c>
      <c r="F143" t="s">
        <v>394</v>
      </c>
      <c r="G143" t="str">
        <f t="shared" si="2"/>
        <v>AftercareDate</v>
      </c>
      <c r="W143" t="s">
        <v>794</v>
      </c>
    </row>
    <row r="144" spans="1:23" x14ac:dyDescent="0.25">
      <c r="A144" t="s">
        <v>783</v>
      </c>
      <c r="B144" t="s">
        <v>643</v>
      </c>
      <c r="C144" t="s">
        <v>644</v>
      </c>
      <c r="D144" t="s">
        <v>771</v>
      </c>
      <c r="E144" t="s">
        <v>64</v>
      </c>
      <c r="F144" t="s">
        <v>539</v>
      </c>
      <c r="G144" t="str">
        <f t="shared" si="2"/>
        <v>InformationDate</v>
      </c>
      <c r="W144" t="s">
        <v>794</v>
      </c>
    </row>
    <row r="145" spans="1:23" x14ac:dyDescent="0.25">
      <c r="A145" t="s">
        <v>91</v>
      </c>
      <c r="B145" t="s">
        <v>91</v>
      </c>
      <c r="C145" t="s">
        <v>261</v>
      </c>
      <c r="D145" s="1" t="s">
        <v>691</v>
      </c>
      <c r="E145" s="1" t="s">
        <v>67</v>
      </c>
      <c r="F145" t="s">
        <v>262</v>
      </c>
      <c r="G145" t="str">
        <f t="shared" si="2"/>
        <v>ClientEnrolledInPATH</v>
      </c>
      <c r="W145" t="s">
        <v>794</v>
      </c>
    </row>
    <row r="146" spans="1:23" x14ac:dyDescent="0.25">
      <c r="A146" t="s">
        <v>91</v>
      </c>
      <c r="B146" t="s">
        <v>91</v>
      </c>
      <c r="C146" t="s">
        <v>263</v>
      </c>
      <c r="D146" s="1" t="s">
        <v>691</v>
      </c>
      <c r="E146" s="1" t="s">
        <v>692</v>
      </c>
      <c r="F146" t="s">
        <v>264</v>
      </c>
      <c r="G146" t="str">
        <f t="shared" si="2"/>
        <v>ReasonNotEnrolled</v>
      </c>
      <c r="W146" t="s">
        <v>794</v>
      </c>
    </row>
    <row r="147" spans="1:23" x14ac:dyDescent="0.25">
      <c r="A147" t="s">
        <v>91</v>
      </c>
      <c r="B147" t="s">
        <v>91</v>
      </c>
      <c r="C147" t="s">
        <v>53</v>
      </c>
      <c r="D147" s="1" t="s">
        <v>693</v>
      </c>
      <c r="E147" s="1" t="s">
        <v>64</v>
      </c>
      <c r="F147" t="s">
        <v>265</v>
      </c>
      <c r="G147" t="str">
        <f t="shared" si="2"/>
        <v>PercentAMI</v>
      </c>
      <c r="W147" t="s">
        <v>794</v>
      </c>
    </row>
    <row r="148" spans="1:23" x14ac:dyDescent="0.25">
      <c r="A148" t="s">
        <v>91</v>
      </c>
      <c r="B148" t="s">
        <v>91</v>
      </c>
      <c r="C148" t="s">
        <v>34</v>
      </c>
      <c r="D148" s="1" t="s">
        <v>694</v>
      </c>
      <c r="E148" s="1" t="s">
        <v>64</v>
      </c>
      <c r="F148" t="s">
        <v>266</v>
      </c>
      <c r="G148" t="str">
        <f t="shared" si="2"/>
        <v>ReferralSource</v>
      </c>
      <c r="W148" t="s">
        <v>794</v>
      </c>
    </row>
    <row r="149" spans="1:23" x14ac:dyDescent="0.25">
      <c r="A149" t="s">
        <v>91</v>
      </c>
      <c r="B149" t="s">
        <v>91</v>
      </c>
      <c r="C149" t="s">
        <v>271</v>
      </c>
      <c r="D149" s="1" t="s">
        <v>695</v>
      </c>
      <c r="E149" s="1" t="s">
        <v>67</v>
      </c>
      <c r="F149" t="s">
        <v>272</v>
      </c>
      <c r="G149" t="str">
        <f t="shared" si="2"/>
        <v>EligibleForRHY</v>
      </c>
      <c r="W149" t="s">
        <v>794</v>
      </c>
    </row>
    <row r="150" spans="1:23" x14ac:dyDescent="0.25">
      <c r="A150" t="s">
        <v>91</v>
      </c>
      <c r="B150" t="s">
        <v>91</v>
      </c>
      <c r="C150" t="s">
        <v>39</v>
      </c>
      <c r="D150" s="1" t="s">
        <v>695</v>
      </c>
      <c r="E150" s="1" t="s">
        <v>658</v>
      </c>
      <c r="F150" t="s">
        <v>273</v>
      </c>
      <c r="G150" t="str">
        <f t="shared" si="2"/>
        <v>ReasonNoServices</v>
      </c>
      <c r="W150" t="s">
        <v>794</v>
      </c>
    </row>
    <row r="151" spans="1:23" x14ac:dyDescent="0.25">
      <c r="A151" t="s">
        <v>91</v>
      </c>
      <c r="B151" t="s">
        <v>91</v>
      </c>
      <c r="C151" t="s">
        <v>274</v>
      </c>
      <c r="D151" s="1" t="s">
        <v>695</v>
      </c>
      <c r="E151" s="1" t="s">
        <v>659</v>
      </c>
      <c r="F151" t="s">
        <v>275</v>
      </c>
      <c r="G151" t="str">
        <f t="shared" si="2"/>
        <v>RunawayYouth</v>
      </c>
      <c r="W151" t="s">
        <v>794</v>
      </c>
    </row>
    <row r="152" spans="1:23" x14ac:dyDescent="0.25">
      <c r="A152" t="s">
        <v>91</v>
      </c>
      <c r="B152" t="s">
        <v>91</v>
      </c>
      <c r="C152" t="s">
        <v>276</v>
      </c>
      <c r="D152" s="1" t="s">
        <v>696</v>
      </c>
      <c r="E152" s="1" t="s">
        <v>64</v>
      </c>
      <c r="F152" t="s">
        <v>277</v>
      </c>
      <c r="G152" t="str">
        <f t="shared" si="2"/>
        <v>FormerWardChildWelfare</v>
      </c>
      <c r="W152" t="s">
        <v>794</v>
      </c>
    </row>
    <row r="153" spans="1:23" x14ac:dyDescent="0.25">
      <c r="A153" t="s">
        <v>91</v>
      </c>
      <c r="B153" t="s">
        <v>91</v>
      </c>
      <c r="C153" t="s">
        <v>35</v>
      </c>
      <c r="D153" s="1" t="s">
        <v>696</v>
      </c>
      <c r="E153" s="1" t="s">
        <v>658</v>
      </c>
      <c r="F153" t="s">
        <v>278</v>
      </c>
      <c r="G153" t="str">
        <f t="shared" si="2"/>
        <v>ChildWelfareYears</v>
      </c>
      <c r="W153" t="s">
        <v>794</v>
      </c>
    </row>
    <row r="154" spans="1:23" x14ac:dyDescent="0.25">
      <c r="A154" t="s">
        <v>91</v>
      </c>
      <c r="B154" t="s">
        <v>91</v>
      </c>
      <c r="C154" t="s">
        <v>281</v>
      </c>
      <c r="D154" s="1" t="s">
        <v>697</v>
      </c>
      <c r="E154" s="1" t="s">
        <v>64</v>
      </c>
      <c r="F154" t="s">
        <v>282</v>
      </c>
      <c r="G154" t="str">
        <f t="shared" si="2"/>
        <v>FormerWardJuvenileJustice</v>
      </c>
      <c r="W154" t="s">
        <v>794</v>
      </c>
    </row>
    <row r="155" spans="1:23" x14ac:dyDescent="0.25">
      <c r="A155" t="s">
        <v>91</v>
      </c>
      <c r="B155" t="s">
        <v>91</v>
      </c>
      <c r="C155" t="s">
        <v>283</v>
      </c>
      <c r="D155" s="1" t="s">
        <v>697</v>
      </c>
      <c r="E155" s="1" t="s">
        <v>658</v>
      </c>
      <c r="F155" t="s">
        <v>284</v>
      </c>
      <c r="G155" t="str">
        <f t="shared" si="2"/>
        <v>JuvenileJusticeYears</v>
      </c>
      <c r="W155" t="s">
        <v>794</v>
      </c>
    </row>
    <row r="156" spans="1:23" x14ac:dyDescent="0.25">
      <c r="A156" t="s">
        <v>91</v>
      </c>
      <c r="B156" t="s">
        <v>91</v>
      </c>
      <c r="C156" t="s">
        <v>287</v>
      </c>
      <c r="D156" s="1" t="s">
        <v>698</v>
      </c>
      <c r="E156" s="1" t="s">
        <v>66</v>
      </c>
      <c r="F156" t="s">
        <v>288</v>
      </c>
      <c r="G156" t="str">
        <f t="shared" si="2"/>
        <v>UnemploymentFam</v>
      </c>
      <c r="W156" t="s">
        <v>794</v>
      </c>
    </row>
    <row r="157" spans="1:23" x14ac:dyDescent="0.25">
      <c r="A157" t="s">
        <v>91</v>
      </c>
      <c r="B157" t="s">
        <v>91</v>
      </c>
      <c r="C157" t="s">
        <v>289</v>
      </c>
      <c r="D157" s="1" t="s">
        <v>698</v>
      </c>
      <c r="E157" s="1" t="s">
        <v>666</v>
      </c>
      <c r="F157" t="s">
        <v>290</v>
      </c>
      <c r="G157" t="str">
        <f t="shared" si="2"/>
        <v>MentalHealthDisorderFam</v>
      </c>
      <c r="W157" t="s">
        <v>794</v>
      </c>
    </row>
    <row r="158" spans="1:23" x14ac:dyDescent="0.25">
      <c r="A158" t="s">
        <v>91</v>
      </c>
      <c r="B158" t="s">
        <v>91</v>
      </c>
      <c r="C158" t="s">
        <v>291</v>
      </c>
      <c r="D158" s="1" t="s">
        <v>698</v>
      </c>
      <c r="E158" s="1" t="s">
        <v>664</v>
      </c>
      <c r="F158" t="s">
        <v>292</v>
      </c>
      <c r="G158" t="str">
        <f t="shared" si="2"/>
        <v>PhysicalDisabilityFam</v>
      </c>
      <c r="W158" t="s">
        <v>794</v>
      </c>
    </row>
    <row r="159" spans="1:23" x14ac:dyDescent="0.25">
      <c r="A159" t="s">
        <v>91</v>
      </c>
      <c r="B159" t="s">
        <v>91</v>
      </c>
      <c r="C159" t="s">
        <v>293</v>
      </c>
      <c r="D159" s="1" t="s">
        <v>698</v>
      </c>
      <c r="E159" s="1" t="s">
        <v>699</v>
      </c>
      <c r="F159" t="s">
        <v>294</v>
      </c>
      <c r="G159" t="str">
        <f t="shared" si="2"/>
        <v>AlcoholDrugUseDisorderFam</v>
      </c>
      <c r="W159" t="s">
        <v>794</v>
      </c>
    </row>
    <row r="160" spans="1:23" x14ac:dyDescent="0.25">
      <c r="A160" t="s">
        <v>91</v>
      </c>
      <c r="B160" t="s">
        <v>91</v>
      </c>
      <c r="C160" t="s">
        <v>295</v>
      </c>
      <c r="D160" s="1" t="s">
        <v>698</v>
      </c>
      <c r="E160" s="1" t="s">
        <v>700</v>
      </c>
      <c r="F160" t="s">
        <v>296</v>
      </c>
      <c r="G160" t="str">
        <f t="shared" si="2"/>
        <v>InsufficientIncome</v>
      </c>
      <c r="W160" t="s">
        <v>794</v>
      </c>
    </row>
    <row r="161" spans="1:23" x14ac:dyDescent="0.25">
      <c r="A161" t="s">
        <v>91</v>
      </c>
      <c r="B161" t="s">
        <v>91</v>
      </c>
      <c r="C161" t="s">
        <v>297</v>
      </c>
      <c r="D161" s="1" t="s">
        <v>698</v>
      </c>
      <c r="E161" s="1" t="s">
        <v>701</v>
      </c>
      <c r="F161" t="s">
        <v>298</v>
      </c>
      <c r="G161" t="str">
        <f t="shared" si="2"/>
        <v>IncarceratedParent</v>
      </c>
      <c r="W161" t="s">
        <v>794</v>
      </c>
    </row>
    <row r="162" spans="1:23" x14ac:dyDescent="0.25">
      <c r="A162" t="s">
        <v>91</v>
      </c>
      <c r="B162" t="s">
        <v>91</v>
      </c>
      <c r="C162" t="s">
        <v>299</v>
      </c>
      <c r="D162" s="1" t="s">
        <v>702</v>
      </c>
      <c r="E162" s="1" t="s">
        <v>680</v>
      </c>
      <c r="F162" t="s">
        <v>300</v>
      </c>
      <c r="G162" t="str">
        <f t="shared" si="2"/>
        <v>VAMCStation</v>
      </c>
      <c r="W162" t="s">
        <v>794</v>
      </c>
    </row>
    <row r="163" spans="1:23" x14ac:dyDescent="0.25">
      <c r="A163" t="s">
        <v>91</v>
      </c>
      <c r="B163" t="s">
        <v>91</v>
      </c>
      <c r="C163" t="s">
        <v>301</v>
      </c>
      <c r="D163" s="1" t="s">
        <v>703</v>
      </c>
      <c r="E163" s="1" t="s">
        <v>64</v>
      </c>
      <c r="F163" t="s">
        <v>302</v>
      </c>
      <c r="G163" t="str">
        <f t="shared" si="2"/>
        <v>TargetScreenReqd</v>
      </c>
      <c r="W163" t="s">
        <v>794</v>
      </c>
    </row>
    <row r="164" spans="1:23" x14ac:dyDescent="0.25">
      <c r="A164" t="s">
        <v>91</v>
      </c>
      <c r="B164" t="s">
        <v>91</v>
      </c>
      <c r="C164" t="s">
        <v>54</v>
      </c>
      <c r="D164" s="1" t="s">
        <v>703</v>
      </c>
      <c r="E164" s="1" t="s">
        <v>658</v>
      </c>
      <c r="F164" t="s">
        <v>303</v>
      </c>
      <c r="G164" t="str">
        <f t="shared" si="2"/>
        <v>TimeToHousingLoss</v>
      </c>
      <c r="W164" t="s">
        <v>794</v>
      </c>
    </row>
    <row r="165" spans="1:23" x14ac:dyDescent="0.25">
      <c r="A165" t="s">
        <v>91</v>
      </c>
      <c r="B165" t="s">
        <v>91</v>
      </c>
      <c r="C165" t="s">
        <v>55</v>
      </c>
      <c r="D165" s="1" t="s">
        <v>703</v>
      </c>
      <c r="E165" s="1" t="s">
        <v>659</v>
      </c>
      <c r="F165" t="s">
        <v>304</v>
      </c>
      <c r="G165" t="str">
        <f t="shared" si="2"/>
        <v>AnnualPercentAMI</v>
      </c>
      <c r="W165" t="s">
        <v>794</v>
      </c>
    </row>
    <row r="166" spans="1:23" x14ac:dyDescent="0.25">
      <c r="A166" t="s">
        <v>91</v>
      </c>
      <c r="B166" t="s">
        <v>91</v>
      </c>
      <c r="C166" t="s">
        <v>56</v>
      </c>
      <c r="D166" s="1" t="s">
        <v>703</v>
      </c>
      <c r="E166" s="1" t="s">
        <v>669</v>
      </c>
      <c r="F166" t="s">
        <v>305</v>
      </c>
      <c r="G166" t="str">
        <f t="shared" si="2"/>
        <v>LiteralHomelessHistory</v>
      </c>
      <c r="W166" t="s">
        <v>794</v>
      </c>
    </row>
    <row r="167" spans="1:23" x14ac:dyDescent="0.25">
      <c r="A167" t="s">
        <v>91</v>
      </c>
      <c r="B167" t="s">
        <v>91</v>
      </c>
      <c r="C167" t="s">
        <v>306</v>
      </c>
      <c r="D167" s="1" t="s">
        <v>703</v>
      </c>
      <c r="E167" s="1" t="s">
        <v>104</v>
      </c>
      <c r="F167" t="s">
        <v>307</v>
      </c>
      <c r="G167" t="str">
        <f t="shared" si="2"/>
        <v>ClientLeaseholder</v>
      </c>
      <c r="W167" t="s">
        <v>794</v>
      </c>
    </row>
    <row r="168" spans="1:23" x14ac:dyDescent="0.25">
      <c r="A168" t="s">
        <v>91</v>
      </c>
      <c r="B168" t="s">
        <v>91</v>
      </c>
      <c r="C168" t="s">
        <v>308</v>
      </c>
      <c r="D168" s="1" t="s">
        <v>703</v>
      </c>
      <c r="E168" s="1" t="s">
        <v>704</v>
      </c>
      <c r="F168" t="s">
        <v>309</v>
      </c>
      <c r="G168" t="str">
        <f t="shared" si="2"/>
        <v>HOHLeaseholder</v>
      </c>
      <c r="W168" t="s">
        <v>794</v>
      </c>
    </row>
    <row r="169" spans="1:23" x14ac:dyDescent="0.25">
      <c r="A169" t="s">
        <v>91</v>
      </c>
      <c r="B169" t="s">
        <v>91</v>
      </c>
      <c r="C169" t="s">
        <v>310</v>
      </c>
      <c r="D169" s="1" t="s">
        <v>703</v>
      </c>
      <c r="E169" s="1" t="s">
        <v>705</v>
      </c>
      <c r="F169" t="s">
        <v>311</v>
      </c>
      <c r="G169" t="str">
        <f t="shared" si="2"/>
        <v>SubsidyAtRisk</v>
      </c>
      <c r="W169" t="s">
        <v>794</v>
      </c>
    </row>
    <row r="170" spans="1:23" x14ac:dyDescent="0.25">
      <c r="A170" t="s">
        <v>91</v>
      </c>
      <c r="B170" t="s">
        <v>91</v>
      </c>
      <c r="C170" t="s">
        <v>57</v>
      </c>
      <c r="D170" s="1" t="s">
        <v>703</v>
      </c>
      <c r="E170" s="1" t="s">
        <v>706</v>
      </c>
      <c r="F170" t="s">
        <v>312</v>
      </c>
      <c r="G170" t="str">
        <f t="shared" si="2"/>
        <v>EvictionHistory</v>
      </c>
      <c r="W170" t="s">
        <v>794</v>
      </c>
    </row>
    <row r="171" spans="1:23" x14ac:dyDescent="0.25">
      <c r="A171" t="s">
        <v>91</v>
      </c>
      <c r="B171" t="s">
        <v>91</v>
      </c>
      <c r="C171" t="s">
        <v>313</v>
      </c>
      <c r="D171" s="1" t="s">
        <v>703</v>
      </c>
      <c r="E171" s="1" t="s">
        <v>707</v>
      </c>
      <c r="F171" t="s">
        <v>314</v>
      </c>
      <c r="G171" t="str">
        <f t="shared" si="2"/>
        <v>CriminalRecord</v>
      </c>
      <c r="W171" t="s">
        <v>794</v>
      </c>
    </row>
    <row r="172" spans="1:23" x14ac:dyDescent="0.25">
      <c r="A172" t="s">
        <v>91</v>
      </c>
      <c r="B172" t="s">
        <v>91</v>
      </c>
      <c r="C172" t="s">
        <v>58</v>
      </c>
      <c r="D172" s="1" t="s">
        <v>703</v>
      </c>
      <c r="E172" s="1" t="s">
        <v>105</v>
      </c>
      <c r="F172" t="s">
        <v>315</v>
      </c>
      <c r="G172" t="str">
        <f t="shared" si="2"/>
        <v>IncarceratedAdult</v>
      </c>
      <c r="W172" t="s">
        <v>794</v>
      </c>
    </row>
    <row r="173" spans="1:23" x14ac:dyDescent="0.25">
      <c r="A173" t="s">
        <v>91</v>
      </c>
      <c r="B173" t="s">
        <v>91</v>
      </c>
      <c r="C173" t="s">
        <v>316</v>
      </c>
      <c r="D173" s="1" t="s">
        <v>703</v>
      </c>
      <c r="E173" s="1" t="s">
        <v>708</v>
      </c>
      <c r="F173" t="s">
        <v>317</v>
      </c>
      <c r="G173" t="str">
        <f t="shared" si="2"/>
        <v>PrisonDischarge</v>
      </c>
      <c r="W173" t="s">
        <v>794</v>
      </c>
    </row>
    <row r="174" spans="1:23" x14ac:dyDescent="0.25">
      <c r="A174" t="s">
        <v>91</v>
      </c>
      <c r="B174" t="s">
        <v>91</v>
      </c>
      <c r="C174" t="s">
        <v>318</v>
      </c>
      <c r="D174" s="1" t="s">
        <v>703</v>
      </c>
      <c r="E174" s="1" t="s">
        <v>709</v>
      </c>
      <c r="F174" t="s">
        <v>319</v>
      </c>
      <c r="G174" t="str">
        <f t="shared" si="2"/>
        <v>SexOffender</v>
      </c>
      <c r="W174" t="s">
        <v>794</v>
      </c>
    </row>
    <row r="175" spans="1:23" x14ac:dyDescent="0.25">
      <c r="A175" t="s">
        <v>91</v>
      </c>
      <c r="B175" t="s">
        <v>91</v>
      </c>
      <c r="C175" t="s">
        <v>320</v>
      </c>
      <c r="D175" s="1" t="s">
        <v>703</v>
      </c>
      <c r="E175" s="1" t="s">
        <v>710</v>
      </c>
      <c r="F175" t="s">
        <v>321</v>
      </c>
      <c r="G175" t="str">
        <f t="shared" si="2"/>
        <v>DisabledHoH</v>
      </c>
      <c r="W175" t="s">
        <v>794</v>
      </c>
    </row>
    <row r="176" spans="1:23" x14ac:dyDescent="0.25">
      <c r="A176" t="s">
        <v>91</v>
      </c>
      <c r="B176" t="s">
        <v>91</v>
      </c>
      <c r="C176" t="s">
        <v>322</v>
      </c>
      <c r="D176" s="1" t="s">
        <v>703</v>
      </c>
      <c r="E176" s="1" t="s">
        <v>585</v>
      </c>
      <c r="F176" t="s">
        <v>323</v>
      </c>
      <c r="G176" t="str">
        <f t="shared" si="2"/>
        <v>CurrentPregnant</v>
      </c>
      <c r="W176" t="s">
        <v>794</v>
      </c>
    </row>
    <row r="177" spans="1:23" x14ac:dyDescent="0.25">
      <c r="A177" t="s">
        <v>91</v>
      </c>
      <c r="B177" t="s">
        <v>91</v>
      </c>
      <c r="C177" t="s">
        <v>324</v>
      </c>
      <c r="D177" s="1" t="s">
        <v>703</v>
      </c>
      <c r="E177" s="1" t="s">
        <v>711</v>
      </c>
      <c r="F177" t="s">
        <v>325</v>
      </c>
      <c r="G177" t="str">
        <f t="shared" si="2"/>
        <v>SingleParent</v>
      </c>
      <c r="W177" t="s">
        <v>794</v>
      </c>
    </row>
    <row r="178" spans="1:23" x14ac:dyDescent="0.25">
      <c r="A178" t="s">
        <v>91</v>
      </c>
      <c r="B178" t="s">
        <v>91</v>
      </c>
      <c r="C178" t="s">
        <v>59</v>
      </c>
      <c r="D178" s="1" t="s">
        <v>703</v>
      </c>
      <c r="E178" s="1" t="s">
        <v>712</v>
      </c>
      <c r="F178" t="s">
        <v>326</v>
      </c>
      <c r="G178" t="str">
        <f t="shared" si="2"/>
        <v>DependentUnder6</v>
      </c>
      <c r="W178" t="s">
        <v>794</v>
      </c>
    </row>
    <row r="179" spans="1:23" x14ac:dyDescent="0.25">
      <c r="A179" t="s">
        <v>91</v>
      </c>
      <c r="B179" t="s">
        <v>91</v>
      </c>
      <c r="C179" t="s">
        <v>327</v>
      </c>
      <c r="D179" s="1" t="s">
        <v>703</v>
      </c>
      <c r="E179" s="1" t="s">
        <v>713</v>
      </c>
      <c r="F179" t="s">
        <v>328</v>
      </c>
      <c r="G179" t="str">
        <f t="shared" si="2"/>
        <v>HH5Plus</v>
      </c>
      <c r="W179" t="s">
        <v>794</v>
      </c>
    </row>
    <row r="180" spans="1:23" x14ac:dyDescent="0.25">
      <c r="A180" t="s">
        <v>91</v>
      </c>
      <c r="B180" t="s">
        <v>91</v>
      </c>
      <c r="C180" t="s">
        <v>329</v>
      </c>
      <c r="D180" s="1" t="s">
        <v>703</v>
      </c>
      <c r="E180" s="1" t="s">
        <v>714</v>
      </c>
      <c r="F180" t="s">
        <v>330</v>
      </c>
      <c r="G180" t="str">
        <f t="shared" si="2"/>
        <v>CoCPrioritized</v>
      </c>
      <c r="W180" t="s">
        <v>794</v>
      </c>
    </row>
    <row r="181" spans="1:23" x14ac:dyDescent="0.25">
      <c r="A181" t="s">
        <v>91</v>
      </c>
      <c r="B181" t="s">
        <v>91</v>
      </c>
      <c r="C181" t="s">
        <v>48</v>
      </c>
      <c r="D181" s="1" t="s">
        <v>48</v>
      </c>
      <c r="F181" t="s">
        <v>335</v>
      </c>
      <c r="G181" t="str">
        <f t="shared" si="2"/>
        <v>MentalHealthConsultation</v>
      </c>
      <c r="W181" t="s">
        <v>794</v>
      </c>
    </row>
    <row r="182" spans="1:23" x14ac:dyDescent="0.25">
      <c r="A182" t="s">
        <v>91</v>
      </c>
      <c r="B182" t="s">
        <v>91</v>
      </c>
      <c r="C182" t="s">
        <v>336</v>
      </c>
      <c r="D182" s="1" t="s">
        <v>716</v>
      </c>
      <c r="E182" s="1" t="s">
        <v>64</v>
      </c>
      <c r="F182" t="s">
        <v>337</v>
      </c>
      <c r="G182" t="str">
        <f t="shared" si="2"/>
        <v>TranslationNeeded</v>
      </c>
      <c r="W182" t="s">
        <v>794</v>
      </c>
    </row>
    <row r="183" spans="1:23" x14ac:dyDescent="0.25">
      <c r="A183" t="s">
        <v>91</v>
      </c>
      <c r="B183" t="s">
        <v>91</v>
      </c>
      <c r="C183" t="s">
        <v>229</v>
      </c>
      <c r="D183" t="s">
        <v>678</v>
      </c>
      <c r="E183" t="s">
        <v>64</v>
      </c>
      <c r="F183" t="s">
        <v>230</v>
      </c>
      <c r="G183" t="str">
        <f t="shared" si="2"/>
        <v>EnrollmentID</v>
      </c>
      <c r="Q183" t="s">
        <v>794</v>
      </c>
      <c r="U183" t="s">
        <v>794</v>
      </c>
      <c r="W183" t="s">
        <v>794</v>
      </c>
    </row>
    <row r="184" spans="1:23" x14ac:dyDescent="0.25">
      <c r="A184" t="s">
        <v>91</v>
      </c>
      <c r="B184" t="s">
        <v>91</v>
      </c>
      <c r="C184" t="s">
        <v>231</v>
      </c>
      <c r="D184" t="s">
        <v>679</v>
      </c>
      <c r="E184" t="s">
        <v>64</v>
      </c>
      <c r="F184" t="s">
        <v>178</v>
      </c>
      <c r="G184" t="str">
        <f t="shared" si="2"/>
        <v>PersonalID</v>
      </c>
      <c r="U184" t="s">
        <v>794</v>
      </c>
      <c r="V184" t="s">
        <v>794</v>
      </c>
      <c r="W184" t="s">
        <v>794</v>
      </c>
    </row>
    <row r="185" spans="1:23" x14ac:dyDescent="0.25">
      <c r="A185" t="s">
        <v>91</v>
      </c>
      <c r="B185" t="s">
        <v>91</v>
      </c>
      <c r="C185" t="s">
        <v>92</v>
      </c>
      <c r="D185" t="s">
        <v>655</v>
      </c>
      <c r="E185" t="s">
        <v>680</v>
      </c>
      <c r="F185" t="s">
        <v>2</v>
      </c>
      <c r="G185" t="str">
        <f t="shared" si="2"/>
        <v>ProjectID</v>
      </c>
      <c r="P185" t="s">
        <v>794</v>
      </c>
      <c r="Q185" t="s">
        <v>794</v>
      </c>
      <c r="S185" t="s">
        <v>794</v>
      </c>
      <c r="U185" t="s">
        <v>794</v>
      </c>
      <c r="W185" t="s">
        <v>794</v>
      </c>
    </row>
    <row r="186" spans="1:23" x14ac:dyDescent="0.25">
      <c r="A186" t="s">
        <v>91</v>
      </c>
      <c r="B186" t="s">
        <v>91</v>
      </c>
      <c r="C186" t="s">
        <v>259</v>
      </c>
      <c r="D186" t="s">
        <v>691</v>
      </c>
      <c r="E186" t="s">
        <v>64</v>
      </c>
      <c r="F186" t="s">
        <v>260</v>
      </c>
      <c r="G186" t="str">
        <f t="shared" si="2"/>
        <v>DateOfPATHStatus</v>
      </c>
      <c r="W186" t="s">
        <v>794</v>
      </c>
    </row>
    <row r="187" spans="1:23" x14ac:dyDescent="0.25">
      <c r="A187" t="s">
        <v>91</v>
      </c>
      <c r="B187" t="s">
        <v>91</v>
      </c>
      <c r="C187" t="s">
        <v>267</v>
      </c>
      <c r="D187" t="s">
        <v>694</v>
      </c>
      <c r="E187" t="s">
        <v>658</v>
      </c>
      <c r="F187" t="s">
        <v>268</v>
      </c>
      <c r="G187" t="str">
        <f t="shared" si="2"/>
        <v>CountOutreachReferralApproaches</v>
      </c>
      <c r="W187" t="s">
        <v>794</v>
      </c>
    </row>
    <row r="188" spans="1:23" x14ac:dyDescent="0.25">
      <c r="A188" t="s">
        <v>91</v>
      </c>
      <c r="B188" t="s">
        <v>91</v>
      </c>
      <c r="C188" t="s">
        <v>269</v>
      </c>
      <c r="D188" t="s">
        <v>695</v>
      </c>
      <c r="E188" t="s">
        <v>64</v>
      </c>
      <c r="F188" t="s">
        <v>270</v>
      </c>
      <c r="G188" t="str">
        <f t="shared" si="2"/>
        <v>DateOfBCPStatus</v>
      </c>
      <c r="W188" t="s">
        <v>794</v>
      </c>
    </row>
    <row r="189" spans="1:23" x14ac:dyDescent="0.25">
      <c r="A189" t="s">
        <v>91</v>
      </c>
      <c r="B189" t="s">
        <v>91</v>
      </c>
      <c r="C189" t="s">
        <v>279</v>
      </c>
      <c r="D189" t="s">
        <v>696</v>
      </c>
      <c r="E189" t="s">
        <v>659</v>
      </c>
      <c r="F189" t="s">
        <v>280</v>
      </c>
      <c r="G189" t="str">
        <f t="shared" si="2"/>
        <v>ChildWelfareMonths</v>
      </c>
      <c r="W189" t="s">
        <v>794</v>
      </c>
    </row>
    <row r="190" spans="1:23" x14ac:dyDescent="0.25">
      <c r="A190" t="s">
        <v>91</v>
      </c>
      <c r="B190" t="s">
        <v>91</v>
      </c>
      <c r="C190" t="s">
        <v>285</v>
      </c>
      <c r="D190" t="s">
        <v>697</v>
      </c>
      <c r="E190" t="s">
        <v>659</v>
      </c>
      <c r="F190" t="s">
        <v>286</v>
      </c>
      <c r="G190" t="str">
        <f t="shared" si="2"/>
        <v>JuvenileJusticeMonths</v>
      </c>
      <c r="W190" t="s">
        <v>794</v>
      </c>
    </row>
    <row r="191" spans="1:23" x14ac:dyDescent="0.25">
      <c r="A191" t="s">
        <v>91</v>
      </c>
      <c r="B191" t="s">
        <v>91</v>
      </c>
      <c r="C191" t="s">
        <v>331</v>
      </c>
      <c r="D191" t="s">
        <v>703</v>
      </c>
      <c r="E191" t="s">
        <v>715</v>
      </c>
      <c r="F191" t="s">
        <v>332</v>
      </c>
      <c r="G191" t="str">
        <f t="shared" si="2"/>
        <v>HPScreeningScore</v>
      </c>
      <c r="W191" t="s">
        <v>794</v>
      </c>
    </row>
    <row r="192" spans="1:23" x14ac:dyDescent="0.25">
      <c r="A192" t="s">
        <v>91</v>
      </c>
      <c r="B192" t="s">
        <v>91</v>
      </c>
      <c r="C192" t="s">
        <v>333</v>
      </c>
      <c r="D192" t="s">
        <v>703</v>
      </c>
      <c r="E192" t="s">
        <v>650</v>
      </c>
      <c r="F192" t="s">
        <v>334</v>
      </c>
      <c r="G192" t="str">
        <f t="shared" si="2"/>
        <v>ThresholdScore</v>
      </c>
      <c r="W192" t="s">
        <v>794</v>
      </c>
    </row>
    <row r="193" spans="1:23" x14ac:dyDescent="0.25">
      <c r="A193" t="s">
        <v>91</v>
      </c>
      <c r="B193" t="s">
        <v>91</v>
      </c>
      <c r="C193" t="s">
        <v>338</v>
      </c>
      <c r="D193" t="s">
        <v>716</v>
      </c>
      <c r="E193" t="s">
        <v>658</v>
      </c>
      <c r="F193" t="s">
        <v>339</v>
      </c>
      <c r="G193" t="str">
        <f t="shared" si="2"/>
        <v>PreferredLanguage</v>
      </c>
      <c r="W193" t="s">
        <v>794</v>
      </c>
    </row>
    <row r="194" spans="1:23" x14ac:dyDescent="0.25">
      <c r="A194" t="s">
        <v>91</v>
      </c>
      <c r="B194" t="s">
        <v>91</v>
      </c>
      <c r="C194" t="s">
        <v>340</v>
      </c>
      <c r="D194" t="s">
        <v>716</v>
      </c>
      <c r="E194" t="s">
        <v>659</v>
      </c>
      <c r="F194" t="s">
        <v>341</v>
      </c>
      <c r="G194" t="str">
        <f t="shared" si="2"/>
        <v>PreferredLanguageDifferent</v>
      </c>
      <c r="W194" t="s">
        <v>794</v>
      </c>
    </row>
    <row r="195" spans="1:23" x14ac:dyDescent="0.25">
      <c r="A195" t="s">
        <v>781</v>
      </c>
      <c r="B195" t="s">
        <v>106</v>
      </c>
      <c r="C195" t="s">
        <v>10</v>
      </c>
      <c r="D195" s="1" t="s">
        <v>661</v>
      </c>
      <c r="E195" s="1" t="s">
        <v>64</v>
      </c>
      <c r="F195" t="s">
        <v>106</v>
      </c>
      <c r="G195" t="str">
        <f t="shared" ref="G195:G258" si="3">F195</f>
        <v>Funder</v>
      </c>
      <c r="R195" t="s">
        <v>794</v>
      </c>
      <c r="T195" t="s">
        <v>794</v>
      </c>
      <c r="W195" t="s">
        <v>794</v>
      </c>
    </row>
    <row r="196" spans="1:23" x14ac:dyDescent="0.25">
      <c r="A196" t="s">
        <v>781</v>
      </c>
      <c r="B196" t="s">
        <v>106</v>
      </c>
      <c r="C196" t="s">
        <v>107</v>
      </c>
      <c r="D196" t="s">
        <v>661</v>
      </c>
      <c r="E196" t="s">
        <v>658</v>
      </c>
      <c r="F196" t="s">
        <v>108</v>
      </c>
      <c r="G196" t="str">
        <f t="shared" si="3"/>
        <v>OtherFunder</v>
      </c>
      <c r="W196" t="s">
        <v>794</v>
      </c>
    </row>
    <row r="197" spans="1:23" x14ac:dyDescent="0.25">
      <c r="A197" t="s">
        <v>781</v>
      </c>
      <c r="B197" t="s">
        <v>106</v>
      </c>
      <c r="C197" t="s">
        <v>109</v>
      </c>
      <c r="D197" t="s">
        <v>661</v>
      </c>
      <c r="E197" t="s">
        <v>67</v>
      </c>
      <c r="F197" t="s">
        <v>110</v>
      </c>
      <c r="G197" t="str">
        <f t="shared" si="3"/>
        <v>GrantID</v>
      </c>
      <c r="W197" t="s">
        <v>794</v>
      </c>
    </row>
    <row r="198" spans="1:23" x14ac:dyDescent="0.25">
      <c r="A198" t="s">
        <v>781</v>
      </c>
      <c r="B198" t="s">
        <v>106</v>
      </c>
      <c r="C198" t="s">
        <v>111</v>
      </c>
      <c r="D198" t="s">
        <v>661</v>
      </c>
      <c r="E198" t="s">
        <v>68</v>
      </c>
      <c r="F198" t="s">
        <v>112</v>
      </c>
      <c r="G198" t="str">
        <f t="shared" si="3"/>
        <v>StartDate</v>
      </c>
      <c r="W198" t="s">
        <v>794</v>
      </c>
    </row>
    <row r="199" spans="1:23" x14ac:dyDescent="0.25">
      <c r="A199" t="s">
        <v>781</v>
      </c>
      <c r="B199" t="s">
        <v>106</v>
      </c>
      <c r="C199" t="s">
        <v>113</v>
      </c>
      <c r="D199" t="s">
        <v>661</v>
      </c>
      <c r="E199" t="s">
        <v>69</v>
      </c>
      <c r="F199" t="s">
        <v>114</v>
      </c>
      <c r="G199" t="str">
        <f t="shared" si="3"/>
        <v>EndDate</v>
      </c>
      <c r="W199" t="s">
        <v>794</v>
      </c>
    </row>
    <row r="200" spans="1:23" x14ac:dyDescent="0.25">
      <c r="A200" t="s">
        <v>782</v>
      </c>
      <c r="B200" t="s">
        <v>115</v>
      </c>
      <c r="C200" t="s">
        <v>128</v>
      </c>
      <c r="D200" s="1" t="s">
        <v>662</v>
      </c>
      <c r="E200" s="1" t="s">
        <v>65</v>
      </c>
      <c r="F200" t="s">
        <v>129</v>
      </c>
      <c r="G200" t="str">
        <f t="shared" si="3"/>
        <v>GeographyType</v>
      </c>
      <c r="W200" t="s">
        <v>794</v>
      </c>
    </row>
    <row r="201" spans="1:23" x14ac:dyDescent="0.25">
      <c r="A201" t="s">
        <v>782</v>
      </c>
      <c r="B201" t="s">
        <v>115</v>
      </c>
      <c r="C201" t="s">
        <v>116</v>
      </c>
      <c r="D201" t="s">
        <v>662</v>
      </c>
      <c r="E201" t="s">
        <v>64</v>
      </c>
      <c r="F201" t="s">
        <v>117</v>
      </c>
      <c r="G201" t="str">
        <f t="shared" si="3"/>
        <v>CoCCode</v>
      </c>
      <c r="R201" t="s">
        <v>794</v>
      </c>
      <c r="W201" t="s">
        <v>794</v>
      </c>
    </row>
    <row r="202" spans="1:23" x14ac:dyDescent="0.25">
      <c r="A202" t="s">
        <v>782</v>
      </c>
      <c r="B202" t="s">
        <v>115</v>
      </c>
      <c r="C202" t="s">
        <v>118</v>
      </c>
      <c r="D202" t="s">
        <v>662</v>
      </c>
      <c r="E202" t="s">
        <v>67</v>
      </c>
      <c r="F202" t="s">
        <v>772</v>
      </c>
      <c r="G202" t="str">
        <f t="shared" si="3"/>
        <v>Geocode</v>
      </c>
      <c r="W202" t="s">
        <v>794</v>
      </c>
    </row>
    <row r="203" spans="1:23" x14ac:dyDescent="0.25">
      <c r="A203" t="s">
        <v>782</v>
      </c>
      <c r="B203" t="s">
        <v>115</v>
      </c>
      <c r="C203" t="s">
        <v>119</v>
      </c>
      <c r="D203" t="s">
        <v>662</v>
      </c>
      <c r="E203" t="s">
        <v>68</v>
      </c>
      <c r="F203" t="s">
        <v>120</v>
      </c>
      <c r="G203" t="str">
        <f t="shared" si="3"/>
        <v>Address1</v>
      </c>
      <c r="W203" t="s">
        <v>794</v>
      </c>
    </row>
    <row r="204" spans="1:23" x14ac:dyDescent="0.25">
      <c r="A204" t="s">
        <v>782</v>
      </c>
      <c r="B204" t="s">
        <v>115</v>
      </c>
      <c r="C204" t="s">
        <v>9</v>
      </c>
      <c r="D204" t="s">
        <v>662</v>
      </c>
      <c r="E204" t="s">
        <v>69</v>
      </c>
      <c r="F204" t="s">
        <v>121</v>
      </c>
      <c r="G204" t="str">
        <f t="shared" si="3"/>
        <v>Address2</v>
      </c>
      <c r="W204" t="s">
        <v>794</v>
      </c>
    </row>
    <row r="205" spans="1:23" x14ac:dyDescent="0.25">
      <c r="A205" t="s">
        <v>782</v>
      </c>
      <c r="B205" t="s">
        <v>115</v>
      </c>
      <c r="C205" t="s">
        <v>122</v>
      </c>
      <c r="D205" t="s">
        <v>662</v>
      </c>
      <c r="E205" t="s">
        <v>656</v>
      </c>
      <c r="F205" t="s">
        <v>123</v>
      </c>
      <c r="G205" t="str">
        <f t="shared" si="3"/>
        <v>City</v>
      </c>
      <c r="W205" t="s">
        <v>794</v>
      </c>
    </row>
    <row r="206" spans="1:23" x14ac:dyDescent="0.25">
      <c r="A206" t="s">
        <v>782</v>
      </c>
      <c r="B206" t="s">
        <v>115</v>
      </c>
      <c r="C206" t="s">
        <v>124</v>
      </c>
      <c r="D206" t="s">
        <v>662</v>
      </c>
      <c r="E206" t="s">
        <v>657</v>
      </c>
      <c r="F206" t="s">
        <v>125</v>
      </c>
      <c r="G206" t="str">
        <f t="shared" si="3"/>
        <v>State</v>
      </c>
      <c r="W206" t="s">
        <v>794</v>
      </c>
    </row>
    <row r="207" spans="1:23" x14ac:dyDescent="0.25">
      <c r="A207" t="s">
        <v>782</v>
      </c>
      <c r="B207" t="s">
        <v>115</v>
      </c>
      <c r="C207" t="s">
        <v>126</v>
      </c>
      <c r="D207" t="s">
        <v>662</v>
      </c>
      <c r="E207" t="s">
        <v>660</v>
      </c>
      <c r="F207" t="s">
        <v>127</v>
      </c>
      <c r="G207" t="str">
        <f t="shared" si="3"/>
        <v>ZIP</v>
      </c>
      <c r="W207" t="s">
        <v>794</v>
      </c>
    </row>
    <row r="208" spans="1:23" x14ac:dyDescent="0.25">
      <c r="A208" t="s">
        <v>537</v>
      </c>
      <c r="B208" t="s">
        <v>537</v>
      </c>
      <c r="C208" t="s">
        <v>540</v>
      </c>
      <c r="D208" s="1" t="s">
        <v>745</v>
      </c>
      <c r="E208" s="1" t="s">
        <v>67</v>
      </c>
      <c r="F208" t="s">
        <v>541</v>
      </c>
      <c r="G208" t="str">
        <f t="shared" si="3"/>
        <v>DomesticViolenceSurvivor</v>
      </c>
      <c r="W208" t="s">
        <v>794</v>
      </c>
    </row>
    <row r="209" spans="1:23" x14ac:dyDescent="0.25">
      <c r="A209" t="s">
        <v>537</v>
      </c>
      <c r="B209" t="s">
        <v>537</v>
      </c>
      <c r="C209" t="s">
        <v>24</v>
      </c>
      <c r="D209" s="1" t="s">
        <v>745</v>
      </c>
      <c r="E209" s="1" t="s">
        <v>658</v>
      </c>
      <c r="F209" t="s">
        <v>542</v>
      </c>
      <c r="G209" t="str">
        <f t="shared" si="3"/>
        <v>WhenOccurred</v>
      </c>
      <c r="W209" t="s">
        <v>794</v>
      </c>
    </row>
    <row r="210" spans="1:23" x14ac:dyDescent="0.25">
      <c r="A210" t="s">
        <v>537</v>
      </c>
      <c r="B210" t="s">
        <v>537</v>
      </c>
      <c r="C210" t="s">
        <v>543</v>
      </c>
      <c r="D210" s="1" t="s">
        <v>745</v>
      </c>
      <c r="E210" s="1" t="s">
        <v>659</v>
      </c>
      <c r="F210" t="s">
        <v>544</v>
      </c>
      <c r="G210" t="str">
        <f t="shared" si="3"/>
        <v>CurrentlyFleeing</v>
      </c>
      <c r="W210" t="s">
        <v>794</v>
      </c>
    </row>
    <row r="211" spans="1:23" x14ac:dyDescent="0.25">
      <c r="A211" t="s">
        <v>537</v>
      </c>
      <c r="B211" t="s">
        <v>537</v>
      </c>
      <c r="C211" t="s">
        <v>45</v>
      </c>
      <c r="D211" s="1" t="s">
        <v>746</v>
      </c>
      <c r="E211" s="1" t="s">
        <v>64</v>
      </c>
      <c r="F211" t="s">
        <v>545</v>
      </c>
      <c r="G211" t="str">
        <f t="shared" si="3"/>
        <v>GeneralHealthStatus</v>
      </c>
      <c r="W211" t="s">
        <v>794</v>
      </c>
    </row>
    <row r="212" spans="1:23" x14ac:dyDescent="0.25">
      <c r="A212" t="s">
        <v>537</v>
      </c>
      <c r="B212" t="s">
        <v>537</v>
      </c>
      <c r="C212" t="s">
        <v>546</v>
      </c>
      <c r="D212" s="1" t="s">
        <v>747</v>
      </c>
      <c r="E212" s="1" t="s">
        <v>64</v>
      </c>
      <c r="F212" t="s">
        <v>547</v>
      </c>
      <c r="G212" t="str">
        <f t="shared" si="3"/>
        <v>DentalHealthStatus</v>
      </c>
      <c r="W212" t="s">
        <v>794</v>
      </c>
    </row>
    <row r="213" spans="1:23" x14ac:dyDescent="0.25">
      <c r="A213" t="s">
        <v>537</v>
      </c>
      <c r="B213" t="s">
        <v>537</v>
      </c>
      <c r="C213" t="s">
        <v>548</v>
      </c>
      <c r="D213" s="1" t="s">
        <v>748</v>
      </c>
      <c r="E213" s="1" t="s">
        <v>64</v>
      </c>
      <c r="F213" t="s">
        <v>549</v>
      </c>
      <c r="G213" t="str">
        <f t="shared" si="3"/>
        <v>MentalHealthStatus</v>
      </c>
      <c r="W213" t="s">
        <v>794</v>
      </c>
    </row>
    <row r="214" spans="1:23" x14ac:dyDescent="0.25">
      <c r="A214" t="s">
        <v>537</v>
      </c>
      <c r="B214" t="s">
        <v>537</v>
      </c>
      <c r="C214" t="s">
        <v>550</v>
      </c>
      <c r="D214" s="1" t="s">
        <v>749</v>
      </c>
      <c r="E214" s="1" t="s">
        <v>64</v>
      </c>
      <c r="F214" t="s">
        <v>551</v>
      </c>
      <c r="G214" t="str">
        <f t="shared" si="3"/>
        <v>PregnancyStatus</v>
      </c>
      <c r="W214" t="s">
        <v>794</v>
      </c>
    </row>
    <row r="215" spans="1:23" x14ac:dyDescent="0.25">
      <c r="A215" t="s">
        <v>537</v>
      </c>
      <c r="B215" t="s">
        <v>537</v>
      </c>
      <c r="C215" t="s">
        <v>538</v>
      </c>
      <c r="D215" t="s">
        <v>745</v>
      </c>
      <c r="E215" t="s">
        <v>64</v>
      </c>
      <c r="F215" t="s">
        <v>539</v>
      </c>
      <c r="G215" t="str">
        <f t="shared" si="3"/>
        <v>InformationDate</v>
      </c>
      <c r="W215" t="s">
        <v>794</v>
      </c>
    </row>
    <row r="216" spans="1:23" x14ac:dyDescent="0.25">
      <c r="A216" t="s">
        <v>537</v>
      </c>
      <c r="B216" t="s">
        <v>537</v>
      </c>
      <c r="C216" t="s">
        <v>552</v>
      </c>
      <c r="D216" t="s">
        <v>749</v>
      </c>
      <c r="E216" t="s">
        <v>658</v>
      </c>
      <c r="F216" t="s">
        <v>553</v>
      </c>
      <c r="G216" t="str">
        <f t="shared" si="3"/>
        <v>DueDate</v>
      </c>
      <c r="W216" t="s">
        <v>794</v>
      </c>
    </row>
    <row r="217" spans="1:23" x14ac:dyDescent="0.25">
      <c r="A217" t="s">
        <v>775</v>
      </c>
      <c r="B217" t="s">
        <v>402</v>
      </c>
      <c r="C217" t="s">
        <v>485</v>
      </c>
      <c r="D217" s="1" t="s">
        <v>733</v>
      </c>
      <c r="E217" s="1" t="s">
        <v>67</v>
      </c>
      <c r="F217" t="s">
        <v>486</v>
      </c>
      <c r="G217" t="str">
        <f t="shared" si="3"/>
        <v>InsuranceFromAnySource</v>
      </c>
      <c r="W217" t="s">
        <v>794</v>
      </c>
    </row>
    <row r="218" spans="1:23" x14ac:dyDescent="0.25">
      <c r="A218" t="s">
        <v>775</v>
      </c>
      <c r="B218" t="s">
        <v>402</v>
      </c>
      <c r="C218" t="s">
        <v>487</v>
      </c>
      <c r="D218" s="1" t="s">
        <v>733</v>
      </c>
      <c r="E218" s="1" t="s">
        <v>68</v>
      </c>
      <c r="F218" t="s">
        <v>488</v>
      </c>
      <c r="G218" t="str">
        <f t="shared" si="3"/>
        <v>Medicaid</v>
      </c>
      <c r="W218" t="s">
        <v>794</v>
      </c>
    </row>
    <row r="219" spans="1:23" x14ac:dyDescent="0.25">
      <c r="A219" t="s">
        <v>775</v>
      </c>
      <c r="B219" t="s">
        <v>402</v>
      </c>
      <c r="C219" t="s">
        <v>489</v>
      </c>
      <c r="D219" s="1" t="s">
        <v>733</v>
      </c>
      <c r="E219" s="1" t="s">
        <v>734</v>
      </c>
      <c r="F219" t="s">
        <v>490</v>
      </c>
      <c r="G219" t="str">
        <f t="shared" si="3"/>
        <v>NoMedicaidReason</v>
      </c>
      <c r="W219" t="s">
        <v>794</v>
      </c>
    </row>
    <row r="220" spans="1:23" x14ac:dyDescent="0.25">
      <c r="A220" t="s">
        <v>775</v>
      </c>
      <c r="B220" t="s">
        <v>402</v>
      </c>
      <c r="C220" t="s">
        <v>491</v>
      </c>
      <c r="D220" s="1" t="s">
        <v>733</v>
      </c>
      <c r="E220" s="1" t="s">
        <v>69</v>
      </c>
      <c r="F220" t="s">
        <v>492</v>
      </c>
      <c r="G220" t="str">
        <f t="shared" si="3"/>
        <v>Medicare</v>
      </c>
      <c r="W220" t="s">
        <v>794</v>
      </c>
    </row>
    <row r="221" spans="1:23" x14ac:dyDescent="0.25">
      <c r="A221" t="s">
        <v>775</v>
      </c>
      <c r="B221" t="s">
        <v>402</v>
      </c>
      <c r="C221" t="s">
        <v>493</v>
      </c>
      <c r="D221" s="1" t="s">
        <v>733</v>
      </c>
      <c r="E221" s="1" t="s">
        <v>735</v>
      </c>
      <c r="F221" t="s">
        <v>494</v>
      </c>
      <c r="G221" t="str">
        <f t="shared" si="3"/>
        <v>NoMedicareReason</v>
      </c>
      <c r="W221" t="s">
        <v>794</v>
      </c>
    </row>
    <row r="222" spans="1:23" x14ac:dyDescent="0.25">
      <c r="A222" t="s">
        <v>775</v>
      </c>
      <c r="B222" t="s">
        <v>402</v>
      </c>
      <c r="C222" t="s">
        <v>495</v>
      </c>
      <c r="D222" s="1" t="s">
        <v>733</v>
      </c>
      <c r="E222" s="1" t="s">
        <v>656</v>
      </c>
      <c r="F222" t="s">
        <v>496</v>
      </c>
      <c r="G222" t="str">
        <f t="shared" si="3"/>
        <v>SCHIP</v>
      </c>
      <c r="W222" t="s">
        <v>794</v>
      </c>
    </row>
    <row r="223" spans="1:23" x14ac:dyDescent="0.25">
      <c r="A223" t="s">
        <v>775</v>
      </c>
      <c r="B223" t="s">
        <v>402</v>
      </c>
      <c r="C223" t="s">
        <v>497</v>
      </c>
      <c r="D223" s="1" t="s">
        <v>733</v>
      </c>
      <c r="E223" s="1" t="s">
        <v>736</v>
      </c>
      <c r="F223" t="s">
        <v>498</v>
      </c>
      <c r="G223" t="str">
        <f t="shared" si="3"/>
        <v>NoSCHIPReason</v>
      </c>
      <c r="W223" t="s">
        <v>794</v>
      </c>
    </row>
    <row r="224" spans="1:23" x14ac:dyDescent="0.25">
      <c r="A224" t="s">
        <v>775</v>
      </c>
      <c r="B224" t="s">
        <v>402</v>
      </c>
      <c r="C224" t="s">
        <v>499</v>
      </c>
      <c r="D224" s="1" t="s">
        <v>733</v>
      </c>
      <c r="E224" s="1" t="s">
        <v>657</v>
      </c>
      <c r="F224" t="s">
        <v>500</v>
      </c>
      <c r="G224" t="str">
        <f t="shared" si="3"/>
        <v>VHAServices</v>
      </c>
      <c r="W224" t="s">
        <v>794</v>
      </c>
    </row>
    <row r="225" spans="1:23" x14ac:dyDescent="0.25">
      <c r="A225" t="s">
        <v>775</v>
      </c>
      <c r="B225" t="s">
        <v>402</v>
      </c>
      <c r="C225" t="s">
        <v>501</v>
      </c>
      <c r="D225" s="1" t="s">
        <v>733</v>
      </c>
      <c r="E225" s="1" t="s">
        <v>737</v>
      </c>
      <c r="F225" t="s">
        <v>502</v>
      </c>
      <c r="G225" t="str">
        <f t="shared" si="3"/>
        <v>NoVHAReason</v>
      </c>
      <c r="W225" t="s">
        <v>794</v>
      </c>
    </row>
    <row r="226" spans="1:23" x14ac:dyDescent="0.25">
      <c r="A226" t="s">
        <v>775</v>
      </c>
      <c r="B226" t="s">
        <v>402</v>
      </c>
      <c r="C226" t="s">
        <v>503</v>
      </c>
      <c r="D226" s="1" t="s">
        <v>733</v>
      </c>
      <c r="E226" s="1" t="s">
        <v>660</v>
      </c>
      <c r="F226" t="s">
        <v>504</v>
      </c>
      <c r="G226" t="str">
        <f t="shared" si="3"/>
        <v>EmployerProvided</v>
      </c>
      <c r="W226" t="s">
        <v>794</v>
      </c>
    </row>
    <row r="227" spans="1:23" x14ac:dyDescent="0.25">
      <c r="A227" t="s">
        <v>775</v>
      </c>
      <c r="B227" t="s">
        <v>402</v>
      </c>
      <c r="C227" t="s">
        <v>505</v>
      </c>
      <c r="D227" s="1" t="s">
        <v>733</v>
      </c>
      <c r="E227" s="1" t="s">
        <v>738</v>
      </c>
      <c r="F227" t="s">
        <v>506</v>
      </c>
      <c r="G227" t="str">
        <f t="shared" si="3"/>
        <v>NoEmployerProvidedReason</v>
      </c>
      <c r="W227" t="s">
        <v>794</v>
      </c>
    </row>
    <row r="228" spans="1:23" x14ac:dyDescent="0.25">
      <c r="A228" t="s">
        <v>775</v>
      </c>
      <c r="B228" t="s">
        <v>402</v>
      </c>
      <c r="C228" t="s">
        <v>507</v>
      </c>
      <c r="D228" s="1" t="s">
        <v>733</v>
      </c>
      <c r="E228" s="1" t="s">
        <v>65</v>
      </c>
      <c r="F228" t="s">
        <v>508</v>
      </c>
      <c r="G228" t="str">
        <f t="shared" si="3"/>
        <v>COBRA</v>
      </c>
      <c r="W228" t="s">
        <v>794</v>
      </c>
    </row>
    <row r="229" spans="1:23" x14ac:dyDescent="0.25">
      <c r="A229" t="s">
        <v>775</v>
      </c>
      <c r="B229" t="s">
        <v>402</v>
      </c>
      <c r="C229" t="s">
        <v>509</v>
      </c>
      <c r="D229" s="1" t="s">
        <v>733</v>
      </c>
      <c r="E229" s="1" t="s">
        <v>739</v>
      </c>
      <c r="F229" t="s">
        <v>510</v>
      </c>
      <c r="G229" t="str">
        <f t="shared" si="3"/>
        <v>NoCOBRAReason</v>
      </c>
      <c r="W229" t="s">
        <v>794</v>
      </c>
    </row>
    <row r="230" spans="1:23" x14ac:dyDescent="0.25">
      <c r="A230" t="s">
        <v>775</v>
      </c>
      <c r="B230" t="s">
        <v>402</v>
      </c>
      <c r="C230" t="s">
        <v>511</v>
      </c>
      <c r="D230" s="1" t="s">
        <v>733</v>
      </c>
      <c r="E230" s="1" t="s">
        <v>66</v>
      </c>
      <c r="F230" t="s">
        <v>512</v>
      </c>
      <c r="G230" t="str">
        <f t="shared" si="3"/>
        <v>PrivatePay</v>
      </c>
      <c r="W230" t="s">
        <v>794</v>
      </c>
    </row>
    <row r="231" spans="1:23" x14ac:dyDescent="0.25">
      <c r="A231" t="s">
        <v>775</v>
      </c>
      <c r="B231" t="s">
        <v>402</v>
      </c>
      <c r="C231" t="s">
        <v>513</v>
      </c>
      <c r="D231" s="1" t="s">
        <v>733</v>
      </c>
      <c r="E231" s="1" t="s">
        <v>740</v>
      </c>
      <c r="F231" t="s">
        <v>514</v>
      </c>
      <c r="G231" t="str">
        <f t="shared" si="3"/>
        <v>NoPrivatePayReason</v>
      </c>
      <c r="W231" t="s">
        <v>794</v>
      </c>
    </row>
    <row r="232" spans="1:23" x14ac:dyDescent="0.25">
      <c r="A232" t="s">
        <v>775</v>
      </c>
      <c r="B232" t="s">
        <v>402</v>
      </c>
      <c r="C232" t="s">
        <v>515</v>
      </c>
      <c r="D232" s="1" t="s">
        <v>733</v>
      </c>
      <c r="E232" s="1" t="s">
        <v>70</v>
      </c>
      <c r="F232" t="s">
        <v>516</v>
      </c>
      <c r="G232" t="str">
        <f t="shared" si="3"/>
        <v>StateHealthIns</v>
      </c>
      <c r="W232" t="s">
        <v>794</v>
      </c>
    </row>
    <row r="233" spans="1:23" x14ac:dyDescent="0.25">
      <c r="A233" t="s">
        <v>775</v>
      </c>
      <c r="B233" t="s">
        <v>402</v>
      </c>
      <c r="C233" t="s">
        <v>517</v>
      </c>
      <c r="D233" s="1" t="s">
        <v>733</v>
      </c>
      <c r="E233" s="1" t="s">
        <v>741</v>
      </c>
      <c r="F233" t="s">
        <v>518</v>
      </c>
      <c r="G233" t="str">
        <f t="shared" si="3"/>
        <v>NoStateHealthInsReason</v>
      </c>
      <c r="W233" t="s">
        <v>794</v>
      </c>
    </row>
    <row r="234" spans="1:23" x14ac:dyDescent="0.25">
      <c r="A234" t="s">
        <v>775</v>
      </c>
      <c r="B234" t="s">
        <v>402</v>
      </c>
      <c r="C234" t="s">
        <v>519</v>
      </c>
      <c r="D234" s="1" t="s">
        <v>733</v>
      </c>
      <c r="E234" s="1" t="s">
        <v>666</v>
      </c>
      <c r="F234" t="s">
        <v>520</v>
      </c>
      <c r="G234" t="str">
        <f t="shared" si="3"/>
        <v>IndianHealthServices</v>
      </c>
      <c r="W234" t="s">
        <v>794</v>
      </c>
    </row>
    <row r="235" spans="1:23" x14ac:dyDescent="0.25">
      <c r="A235" t="s">
        <v>775</v>
      </c>
      <c r="B235" t="s">
        <v>402</v>
      </c>
      <c r="C235" t="s">
        <v>521</v>
      </c>
      <c r="D235" s="1" t="s">
        <v>733</v>
      </c>
      <c r="E235" s="1" t="s">
        <v>742</v>
      </c>
      <c r="F235" t="s">
        <v>522</v>
      </c>
      <c r="G235" t="str">
        <f t="shared" si="3"/>
        <v>NoIndianHealthServicesReason</v>
      </c>
      <c r="W235" t="s">
        <v>794</v>
      </c>
    </row>
    <row r="236" spans="1:23" x14ac:dyDescent="0.25">
      <c r="A236" t="s">
        <v>775</v>
      </c>
      <c r="B236" t="s">
        <v>402</v>
      </c>
      <c r="C236" t="s">
        <v>523</v>
      </c>
      <c r="D236" s="1" t="s">
        <v>733</v>
      </c>
      <c r="E236" s="1" t="s">
        <v>667</v>
      </c>
      <c r="F236" t="s">
        <v>524</v>
      </c>
      <c r="G236" t="str">
        <f t="shared" si="3"/>
        <v>OtherInsurance</v>
      </c>
      <c r="W236" t="s">
        <v>794</v>
      </c>
    </row>
    <row r="237" spans="1:23" x14ac:dyDescent="0.25">
      <c r="A237" t="s">
        <v>775</v>
      </c>
      <c r="B237" t="s">
        <v>402</v>
      </c>
      <c r="C237" t="s">
        <v>525</v>
      </c>
      <c r="D237" t="s">
        <v>733</v>
      </c>
      <c r="E237" t="s">
        <v>743</v>
      </c>
      <c r="F237" t="s">
        <v>526</v>
      </c>
      <c r="G237" t="str">
        <f t="shared" si="3"/>
        <v>OtherInsuranceIdentify</v>
      </c>
      <c r="W237" t="s">
        <v>794</v>
      </c>
    </row>
    <row r="238" spans="1:23" x14ac:dyDescent="0.25">
      <c r="A238" t="s">
        <v>157</v>
      </c>
      <c r="B238" t="s">
        <v>157</v>
      </c>
      <c r="C238" t="s">
        <v>14</v>
      </c>
      <c r="D238" s="1" t="s">
        <v>670</v>
      </c>
      <c r="E238" s="1" t="s">
        <v>64</v>
      </c>
      <c r="F238" t="s">
        <v>158</v>
      </c>
      <c r="G238" t="str">
        <f t="shared" si="3"/>
        <v>HMISParticipationType</v>
      </c>
      <c r="W238" t="s">
        <v>794</v>
      </c>
    </row>
    <row r="239" spans="1:23" x14ac:dyDescent="0.25">
      <c r="A239" t="s">
        <v>157</v>
      </c>
      <c r="B239" t="s">
        <v>157</v>
      </c>
      <c r="C239" t="s">
        <v>159</v>
      </c>
      <c r="D239" t="s">
        <v>670</v>
      </c>
      <c r="E239" t="s">
        <v>67</v>
      </c>
      <c r="F239" t="s">
        <v>160</v>
      </c>
      <c r="G239" t="str">
        <f t="shared" si="3"/>
        <v>HMISParticipationStatusStartDate</v>
      </c>
      <c r="W239" t="s">
        <v>794</v>
      </c>
    </row>
    <row r="240" spans="1:23" x14ac:dyDescent="0.25">
      <c r="A240" t="s">
        <v>157</v>
      </c>
      <c r="B240" t="s">
        <v>157</v>
      </c>
      <c r="C240" t="s">
        <v>161</v>
      </c>
      <c r="D240" t="s">
        <v>670</v>
      </c>
      <c r="E240" t="s">
        <v>68</v>
      </c>
      <c r="F240" t="s">
        <v>162</v>
      </c>
      <c r="G240" t="str">
        <f t="shared" si="3"/>
        <v>HMISParticipationStatusEndDate</v>
      </c>
      <c r="W240" t="s">
        <v>794</v>
      </c>
    </row>
    <row r="241" spans="1:23" x14ac:dyDescent="0.25">
      <c r="A241" t="s">
        <v>784</v>
      </c>
      <c r="B241" t="s">
        <v>91</v>
      </c>
      <c r="C241" t="s">
        <v>20</v>
      </c>
      <c r="D241" s="1" t="s">
        <v>683</v>
      </c>
      <c r="E241" s="1" t="s">
        <v>64</v>
      </c>
      <c r="F241" t="s">
        <v>236</v>
      </c>
      <c r="G241" t="str">
        <f t="shared" si="3"/>
        <v>RelationshipToHoH</v>
      </c>
      <c r="Q241" t="s">
        <v>794</v>
      </c>
      <c r="W241" t="s">
        <v>794</v>
      </c>
    </row>
    <row r="242" spans="1:23" x14ac:dyDescent="0.25">
      <c r="A242" t="s">
        <v>784</v>
      </c>
      <c r="B242" t="s">
        <v>91</v>
      </c>
      <c r="C242" t="s">
        <v>234</v>
      </c>
      <c r="D242" t="s">
        <v>682</v>
      </c>
      <c r="E242" t="s">
        <v>64</v>
      </c>
      <c r="F242" t="s">
        <v>235</v>
      </c>
      <c r="G242" t="str">
        <f t="shared" si="3"/>
        <v>HouseholdID</v>
      </c>
      <c r="Q242" t="s">
        <v>794</v>
      </c>
      <c r="W242" t="s">
        <v>794</v>
      </c>
    </row>
    <row r="243" spans="1:23" x14ac:dyDescent="0.25">
      <c r="A243" t="s">
        <v>773</v>
      </c>
      <c r="B243" t="s">
        <v>402</v>
      </c>
      <c r="C243" t="s">
        <v>403</v>
      </c>
      <c r="D243" s="1" t="s">
        <v>728</v>
      </c>
      <c r="E243" s="1" t="s">
        <v>67</v>
      </c>
      <c r="F243" t="s">
        <v>404</v>
      </c>
      <c r="G243" t="str">
        <f t="shared" si="3"/>
        <v>IncomeFromAnySource</v>
      </c>
      <c r="W243" t="s">
        <v>794</v>
      </c>
    </row>
    <row r="244" spans="1:23" x14ac:dyDescent="0.25">
      <c r="A244" t="s">
        <v>773</v>
      </c>
      <c r="B244" t="s">
        <v>402</v>
      </c>
      <c r="C244" t="s">
        <v>407</v>
      </c>
      <c r="D244" s="1" t="s">
        <v>728</v>
      </c>
      <c r="E244" s="1" t="s">
        <v>68</v>
      </c>
      <c r="F244" t="s">
        <v>408</v>
      </c>
      <c r="G244" t="str">
        <f t="shared" si="3"/>
        <v>Earned</v>
      </c>
      <c r="H244" t="s">
        <v>794</v>
      </c>
      <c r="I244" t="s">
        <v>794</v>
      </c>
      <c r="K244" t="s">
        <v>794</v>
      </c>
      <c r="W244" t="s">
        <v>794</v>
      </c>
    </row>
    <row r="245" spans="1:23" x14ac:dyDescent="0.25">
      <c r="A245" t="s">
        <v>773</v>
      </c>
      <c r="B245" t="s">
        <v>402</v>
      </c>
      <c r="C245" t="s">
        <v>411</v>
      </c>
      <c r="D245" s="1" t="s">
        <v>728</v>
      </c>
      <c r="E245" s="1" t="s">
        <v>69</v>
      </c>
      <c r="F245" t="s">
        <v>412</v>
      </c>
      <c r="G245" t="str">
        <f t="shared" si="3"/>
        <v>Unemployment</v>
      </c>
      <c r="H245" t="s">
        <v>794</v>
      </c>
      <c r="I245" t="s">
        <v>794</v>
      </c>
      <c r="J245" t="s">
        <v>794</v>
      </c>
      <c r="K245" t="s">
        <v>794</v>
      </c>
      <c r="W245" t="s">
        <v>794</v>
      </c>
    </row>
    <row r="246" spans="1:23" x14ac:dyDescent="0.25">
      <c r="A246" t="s">
        <v>773</v>
      </c>
      <c r="B246" t="s">
        <v>402</v>
      </c>
      <c r="C246" t="s">
        <v>415</v>
      </c>
      <c r="D246" s="1" t="s">
        <v>728</v>
      </c>
      <c r="E246" s="1" t="s">
        <v>656</v>
      </c>
      <c r="F246" t="s">
        <v>416</v>
      </c>
      <c r="G246" t="str">
        <f t="shared" si="3"/>
        <v>SSI</v>
      </c>
      <c r="I246" t="s">
        <v>794</v>
      </c>
      <c r="J246" t="s">
        <v>794</v>
      </c>
      <c r="K246" t="s">
        <v>794</v>
      </c>
      <c r="W246" t="s">
        <v>794</v>
      </c>
    </row>
    <row r="247" spans="1:23" x14ac:dyDescent="0.25">
      <c r="A247" t="s">
        <v>773</v>
      </c>
      <c r="B247" t="s">
        <v>402</v>
      </c>
      <c r="C247" t="s">
        <v>419</v>
      </c>
      <c r="D247" s="1" t="s">
        <v>728</v>
      </c>
      <c r="E247" s="1" t="s">
        <v>657</v>
      </c>
      <c r="F247" t="s">
        <v>420</v>
      </c>
      <c r="G247" t="str">
        <f t="shared" si="3"/>
        <v>SSDI</v>
      </c>
      <c r="H247" t="s">
        <v>794</v>
      </c>
      <c r="I247" t="s">
        <v>794</v>
      </c>
      <c r="J247" t="s">
        <v>794</v>
      </c>
      <c r="K247" t="s">
        <v>794</v>
      </c>
      <c r="W247" t="s">
        <v>794</v>
      </c>
    </row>
    <row r="248" spans="1:23" x14ac:dyDescent="0.25">
      <c r="A248" t="s">
        <v>773</v>
      </c>
      <c r="B248" t="s">
        <v>402</v>
      </c>
      <c r="C248" t="s">
        <v>423</v>
      </c>
      <c r="D248" s="1" t="s">
        <v>728</v>
      </c>
      <c r="E248" s="1" t="s">
        <v>660</v>
      </c>
      <c r="F248" t="s">
        <v>424</v>
      </c>
      <c r="G248" t="str">
        <f t="shared" si="3"/>
        <v>VADisabilityService</v>
      </c>
      <c r="I248" t="s">
        <v>794</v>
      </c>
      <c r="J248" t="s">
        <v>794</v>
      </c>
      <c r="K248" t="s">
        <v>794</v>
      </c>
      <c r="W248" t="s">
        <v>794</v>
      </c>
    </row>
    <row r="249" spans="1:23" x14ac:dyDescent="0.25">
      <c r="A249" t="s">
        <v>773</v>
      </c>
      <c r="B249" t="s">
        <v>402</v>
      </c>
      <c r="C249" t="s">
        <v>427</v>
      </c>
      <c r="D249" s="1" t="s">
        <v>728</v>
      </c>
      <c r="E249" s="1" t="s">
        <v>65</v>
      </c>
      <c r="F249" t="s">
        <v>428</v>
      </c>
      <c r="G249" t="str">
        <f t="shared" si="3"/>
        <v>VADisabilityNonService</v>
      </c>
      <c r="H249" t="s">
        <v>794</v>
      </c>
      <c r="I249" t="s">
        <v>794</v>
      </c>
      <c r="J249" t="s">
        <v>794</v>
      </c>
      <c r="K249" t="s">
        <v>794</v>
      </c>
      <c r="W249" t="s">
        <v>794</v>
      </c>
    </row>
    <row r="250" spans="1:23" x14ac:dyDescent="0.25">
      <c r="A250" t="s">
        <v>773</v>
      </c>
      <c r="B250" t="s">
        <v>402</v>
      </c>
      <c r="C250" t="s">
        <v>431</v>
      </c>
      <c r="D250" s="1" t="s">
        <v>728</v>
      </c>
      <c r="E250" s="1" t="s">
        <v>66</v>
      </c>
      <c r="F250" t="s">
        <v>432</v>
      </c>
      <c r="G250" t="str">
        <f t="shared" si="3"/>
        <v>PrivateDisability</v>
      </c>
      <c r="H250" t="s">
        <v>794</v>
      </c>
      <c r="I250" t="s">
        <v>794</v>
      </c>
      <c r="J250" t="s">
        <v>794</v>
      </c>
      <c r="K250" t="s">
        <v>794</v>
      </c>
      <c r="W250" t="s">
        <v>794</v>
      </c>
    </row>
    <row r="251" spans="1:23" x14ac:dyDescent="0.25">
      <c r="A251" t="s">
        <v>773</v>
      </c>
      <c r="B251" t="s">
        <v>402</v>
      </c>
      <c r="C251" t="s">
        <v>435</v>
      </c>
      <c r="D251" s="1" t="s">
        <v>728</v>
      </c>
      <c r="E251" s="1" t="s">
        <v>70</v>
      </c>
      <c r="F251" t="s">
        <v>436</v>
      </c>
      <c r="G251" t="str">
        <f t="shared" si="3"/>
        <v>WorkersComp</v>
      </c>
      <c r="I251" t="s">
        <v>794</v>
      </c>
      <c r="J251" t="s">
        <v>794</v>
      </c>
      <c r="K251" t="s">
        <v>794</v>
      </c>
      <c r="W251" t="s">
        <v>794</v>
      </c>
    </row>
    <row r="252" spans="1:23" x14ac:dyDescent="0.25">
      <c r="A252" t="s">
        <v>773</v>
      </c>
      <c r="B252" t="s">
        <v>402</v>
      </c>
      <c r="C252" t="s">
        <v>439</v>
      </c>
      <c r="D252" s="1" t="s">
        <v>728</v>
      </c>
      <c r="E252" s="1" t="s">
        <v>666</v>
      </c>
      <c r="F252" t="s">
        <v>440</v>
      </c>
      <c r="G252" t="str">
        <f t="shared" si="3"/>
        <v>TANF</v>
      </c>
      <c r="I252" t="s">
        <v>794</v>
      </c>
      <c r="J252" t="s">
        <v>794</v>
      </c>
      <c r="K252" t="s">
        <v>794</v>
      </c>
      <c r="W252" t="s">
        <v>794</v>
      </c>
    </row>
    <row r="253" spans="1:23" x14ac:dyDescent="0.25">
      <c r="A253" t="s">
        <v>773</v>
      </c>
      <c r="B253" t="s">
        <v>402</v>
      </c>
      <c r="C253" t="s">
        <v>443</v>
      </c>
      <c r="D253" s="1" t="s">
        <v>728</v>
      </c>
      <c r="E253" s="1" t="s">
        <v>667</v>
      </c>
      <c r="F253" t="s">
        <v>444</v>
      </c>
      <c r="G253" t="str">
        <f t="shared" si="3"/>
        <v>GA</v>
      </c>
      <c r="I253" t="s">
        <v>794</v>
      </c>
      <c r="J253" t="s">
        <v>794</v>
      </c>
      <c r="K253" t="s">
        <v>794</v>
      </c>
      <c r="W253" t="s">
        <v>794</v>
      </c>
    </row>
    <row r="254" spans="1:23" x14ac:dyDescent="0.25">
      <c r="A254" t="s">
        <v>773</v>
      </c>
      <c r="B254" t="s">
        <v>402</v>
      </c>
      <c r="C254" t="s">
        <v>447</v>
      </c>
      <c r="D254" s="1" t="s">
        <v>728</v>
      </c>
      <c r="E254" s="1" t="s">
        <v>668</v>
      </c>
      <c r="F254" t="s">
        <v>448</v>
      </c>
      <c r="G254" t="str">
        <f t="shared" si="3"/>
        <v>SocSecRetirement</v>
      </c>
      <c r="W254" t="s">
        <v>794</v>
      </c>
    </row>
    <row r="255" spans="1:23" x14ac:dyDescent="0.25">
      <c r="A255" t="s">
        <v>773</v>
      </c>
      <c r="B255" t="s">
        <v>402</v>
      </c>
      <c r="C255" t="s">
        <v>451</v>
      </c>
      <c r="D255" s="1" t="s">
        <v>728</v>
      </c>
      <c r="E255" s="1" t="s">
        <v>665</v>
      </c>
      <c r="F255" t="s">
        <v>452</v>
      </c>
      <c r="G255" t="str">
        <f t="shared" si="3"/>
        <v>Pension</v>
      </c>
      <c r="W255" t="s">
        <v>794</v>
      </c>
    </row>
    <row r="256" spans="1:23" x14ac:dyDescent="0.25">
      <c r="A256" t="s">
        <v>773</v>
      </c>
      <c r="B256" t="s">
        <v>402</v>
      </c>
      <c r="C256" t="s">
        <v>455</v>
      </c>
      <c r="D256" s="1" t="s">
        <v>728</v>
      </c>
      <c r="E256" s="1" t="s">
        <v>664</v>
      </c>
      <c r="F256" t="s">
        <v>456</v>
      </c>
      <c r="G256" t="str">
        <f t="shared" si="3"/>
        <v>ChildSupport</v>
      </c>
      <c r="W256" t="s">
        <v>794</v>
      </c>
    </row>
    <row r="257" spans="1:23" x14ac:dyDescent="0.25">
      <c r="A257" t="s">
        <v>773</v>
      </c>
      <c r="B257" t="s">
        <v>402</v>
      </c>
      <c r="C257" t="s">
        <v>459</v>
      </c>
      <c r="D257" s="1" t="s">
        <v>728</v>
      </c>
      <c r="E257" s="1" t="s">
        <v>730</v>
      </c>
      <c r="F257" t="s">
        <v>460</v>
      </c>
      <c r="G257" t="str">
        <f t="shared" si="3"/>
        <v>Alimony</v>
      </c>
      <c r="W257" t="s">
        <v>794</v>
      </c>
    </row>
    <row r="258" spans="1:23" x14ac:dyDescent="0.25">
      <c r="A258" t="s">
        <v>773</v>
      </c>
      <c r="B258" t="s">
        <v>402</v>
      </c>
      <c r="C258" t="s">
        <v>463</v>
      </c>
      <c r="D258" s="1" t="s">
        <v>728</v>
      </c>
      <c r="E258" s="1" t="s">
        <v>731</v>
      </c>
      <c r="F258" t="s">
        <v>464</v>
      </c>
      <c r="G258" t="str">
        <f t="shared" si="3"/>
        <v>OtherIncomeSource</v>
      </c>
      <c r="W258" t="s">
        <v>794</v>
      </c>
    </row>
    <row r="259" spans="1:23" x14ac:dyDescent="0.25">
      <c r="A259" t="s">
        <v>773</v>
      </c>
      <c r="B259" t="s">
        <v>402</v>
      </c>
      <c r="C259" t="s">
        <v>405</v>
      </c>
      <c r="D259" t="s">
        <v>728</v>
      </c>
      <c r="E259" t="s">
        <v>729</v>
      </c>
      <c r="F259" t="s">
        <v>406</v>
      </c>
      <c r="G259" t="str">
        <f t="shared" ref="G259:G322" si="4">F259</f>
        <v>TotalMonthlyIncome</v>
      </c>
      <c r="W259" t="s">
        <v>794</v>
      </c>
    </row>
    <row r="260" spans="1:23" x14ac:dyDescent="0.25">
      <c r="A260" t="s">
        <v>773</v>
      </c>
      <c r="B260" t="s">
        <v>402</v>
      </c>
      <c r="C260" t="s">
        <v>409</v>
      </c>
      <c r="D260" t="s">
        <v>728</v>
      </c>
      <c r="E260" t="s">
        <v>658</v>
      </c>
      <c r="F260" t="s">
        <v>410</v>
      </c>
      <c r="G260" t="str">
        <f t="shared" si="4"/>
        <v>EarnedAmount</v>
      </c>
      <c r="W260" t="s">
        <v>794</v>
      </c>
    </row>
    <row r="261" spans="1:23" x14ac:dyDescent="0.25">
      <c r="A261" t="s">
        <v>773</v>
      </c>
      <c r="B261" t="s">
        <v>402</v>
      </c>
      <c r="C261" t="s">
        <v>413</v>
      </c>
      <c r="D261" t="s">
        <v>728</v>
      </c>
      <c r="E261" t="s">
        <v>659</v>
      </c>
      <c r="F261" t="s">
        <v>414</v>
      </c>
      <c r="G261" t="str">
        <f t="shared" si="4"/>
        <v>UnemploymentAmount</v>
      </c>
      <c r="W261" t="s">
        <v>794</v>
      </c>
    </row>
    <row r="262" spans="1:23" x14ac:dyDescent="0.25">
      <c r="A262" t="s">
        <v>773</v>
      </c>
      <c r="B262" t="s">
        <v>402</v>
      </c>
      <c r="C262" t="s">
        <v>417</v>
      </c>
      <c r="D262" t="s">
        <v>728</v>
      </c>
      <c r="E262" t="s">
        <v>669</v>
      </c>
      <c r="F262" t="s">
        <v>418</v>
      </c>
      <c r="G262" t="str">
        <f t="shared" si="4"/>
        <v>SSIAmount</v>
      </c>
      <c r="W262" t="s">
        <v>794</v>
      </c>
    </row>
    <row r="263" spans="1:23" x14ac:dyDescent="0.25">
      <c r="A263" t="s">
        <v>773</v>
      </c>
      <c r="B263" t="s">
        <v>402</v>
      </c>
      <c r="C263" t="s">
        <v>421</v>
      </c>
      <c r="D263" t="s">
        <v>728</v>
      </c>
      <c r="E263" t="s">
        <v>104</v>
      </c>
      <c r="F263" t="s">
        <v>422</v>
      </c>
      <c r="G263" t="str">
        <f t="shared" si="4"/>
        <v>SSDIAmount</v>
      </c>
      <c r="W263" t="s">
        <v>794</v>
      </c>
    </row>
    <row r="264" spans="1:23" x14ac:dyDescent="0.25">
      <c r="A264" t="s">
        <v>773</v>
      </c>
      <c r="B264" t="s">
        <v>402</v>
      </c>
      <c r="C264" t="s">
        <v>425</v>
      </c>
      <c r="D264" t="s">
        <v>728</v>
      </c>
      <c r="E264" t="s">
        <v>704</v>
      </c>
      <c r="F264" t="s">
        <v>426</v>
      </c>
      <c r="G264" t="str">
        <f t="shared" si="4"/>
        <v>VADisabilityServiceAmount</v>
      </c>
      <c r="W264" t="s">
        <v>794</v>
      </c>
    </row>
    <row r="265" spans="1:23" x14ac:dyDescent="0.25">
      <c r="A265" t="s">
        <v>773</v>
      </c>
      <c r="B265" t="s">
        <v>402</v>
      </c>
      <c r="C265" t="s">
        <v>429</v>
      </c>
      <c r="D265" t="s">
        <v>728</v>
      </c>
      <c r="E265" t="s">
        <v>705</v>
      </c>
      <c r="F265" t="s">
        <v>430</v>
      </c>
      <c r="G265" t="str">
        <f t="shared" si="4"/>
        <v>VADisabilityNonServiceAmount</v>
      </c>
      <c r="W265" t="s">
        <v>794</v>
      </c>
    </row>
    <row r="266" spans="1:23" x14ac:dyDescent="0.25">
      <c r="A266" t="s">
        <v>773</v>
      </c>
      <c r="B266" t="s">
        <v>402</v>
      </c>
      <c r="C266" t="s">
        <v>433</v>
      </c>
      <c r="D266" t="s">
        <v>728</v>
      </c>
      <c r="E266" t="s">
        <v>706</v>
      </c>
      <c r="F266" t="s">
        <v>434</v>
      </c>
      <c r="G266" t="str">
        <f t="shared" si="4"/>
        <v>PrivateDisabilityAmount</v>
      </c>
      <c r="W266" t="s">
        <v>794</v>
      </c>
    </row>
    <row r="267" spans="1:23" x14ac:dyDescent="0.25">
      <c r="A267" t="s">
        <v>773</v>
      </c>
      <c r="B267" t="s">
        <v>402</v>
      </c>
      <c r="C267" t="s">
        <v>437</v>
      </c>
      <c r="D267" t="s">
        <v>728</v>
      </c>
      <c r="E267" t="s">
        <v>707</v>
      </c>
      <c r="F267" t="s">
        <v>438</v>
      </c>
      <c r="G267" t="str">
        <f t="shared" si="4"/>
        <v>WorkersCompAmount</v>
      </c>
      <c r="W267" t="s">
        <v>794</v>
      </c>
    </row>
    <row r="268" spans="1:23" x14ac:dyDescent="0.25">
      <c r="A268" t="s">
        <v>773</v>
      </c>
      <c r="B268" t="s">
        <v>402</v>
      </c>
      <c r="C268" t="s">
        <v>441</v>
      </c>
      <c r="D268" t="s">
        <v>728</v>
      </c>
      <c r="E268" t="s">
        <v>105</v>
      </c>
      <c r="F268" t="s">
        <v>442</v>
      </c>
      <c r="G268" t="str">
        <f t="shared" si="4"/>
        <v>TANFAmount</v>
      </c>
      <c r="W268" t="s">
        <v>794</v>
      </c>
    </row>
    <row r="269" spans="1:23" x14ac:dyDescent="0.25">
      <c r="A269" t="s">
        <v>773</v>
      </c>
      <c r="B269" t="s">
        <v>402</v>
      </c>
      <c r="C269" t="s">
        <v>445</v>
      </c>
      <c r="D269" t="s">
        <v>728</v>
      </c>
      <c r="E269" t="s">
        <v>708</v>
      </c>
      <c r="F269" t="s">
        <v>446</v>
      </c>
      <c r="G269" t="str">
        <f t="shared" si="4"/>
        <v>GAAmount</v>
      </c>
      <c r="W269" t="s">
        <v>794</v>
      </c>
    </row>
    <row r="270" spans="1:23" x14ac:dyDescent="0.25">
      <c r="A270" t="s">
        <v>773</v>
      </c>
      <c r="B270" t="s">
        <v>402</v>
      </c>
      <c r="C270" t="s">
        <v>449</v>
      </c>
      <c r="D270" t="s">
        <v>728</v>
      </c>
      <c r="E270" t="s">
        <v>709</v>
      </c>
      <c r="F270" t="s">
        <v>450</v>
      </c>
      <c r="G270" t="str">
        <f t="shared" si="4"/>
        <v>SocSecRetirementAmount</v>
      </c>
      <c r="W270" t="s">
        <v>794</v>
      </c>
    </row>
    <row r="271" spans="1:23" x14ac:dyDescent="0.25">
      <c r="A271" t="s">
        <v>773</v>
      </c>
      <c r="B271" t="s">
        <v>402</v>
      </c>
      <c r="C271" t="s">
        <v>453</v>
      </c>
      <c r="D271" t="s">
        <v>728</v>
      </c>
      <c r="E271" t="s">
        <v>710</v>
      </c>
      <c r="F271" t="s">
        <v>454</v>
      </c>
      <c r="G271" t="str">
        <f t="shared" si="4"/>
        <v>PensionAmount</v>
      </c>
      <c r="W271" t="s">
        <v>794</v>
      </c>
    </row>
    <row r="272" spans="1:23" x14ac:dyDescent="0.25">
      <c r="A272" t="s">
        <v>773</v>
      </c>
      <c r="B272" t="s">
        <v>402</v>
      </c>
      <c r="C272" t="s">
        <v>457</v>
      </c>
      <c r="D272" t="s">
        <v>728</v>
      </c>
      <c r="E272" t="s">
        <v>585</v>
      </c>
      <c r="F272" t="s">
        <v>458</v>
      </c>
      <c r="G272" t="str">
        <f t="shared" si="4"/>
        <v>ChildSupportAmount</v>
      </c>
      <c r="W272" t="s">
        <v>794</v>
      </c>
    </row>
    <row r="273" spans="1:23" x14ac:dyDescent="0.25">
      <c r="A273" t="s">
        <v>773</v>
      </c>
      <c r="B273" t="s">
        <v>402</v>
      </c>
      <c r="C273" t="s">
        <v>461</v>
      </c>
      <c r="D273" t="s">
        <v>728</v>
      </c>
      <c r="E273" t="s">
        <v>711</v>
      </c>
      <c r="F273" t="s">
        <v>462</v>
      </c>
      <c r="G273" t="str">
        <f t="shared" si="4"/>
        <v>AlimonyAmount</v>
      </c>
      <c r="W273" t="s">
        <v>794</v>
      </c>
    </row>
    <row r="274" spans="1:23" x14ac:dyDescent="0.25">
      <c r="A274" t="s">
        <v>773</v>
      </c>
      <c r="B274" t="s">
        <v>402</v>
      </c>
      <c r="C274" t="s">
        <v>465</v>
      </c>
      <c r="D274" t="s">
        <v>728</v>
      </c>
      <c r="E274" t="s">
        <v>712</v>
      </c>
      <c r="F274" t="s">
        <v>466</v>
      </c>
      <c r="G274" t="str">
        <f t="shared" si="4"/>
        <v>OtherIncomeAmount</v>
      </c>
      <c r="W274" t="s">
        <v>794</v>
      </c>
    </row>
    <row r="275" spans="1:23" x14ac:dyDescent="0.25">
      <c r="A275" t="s">
        <v>773</v>
      </c>
      <c r="B275" t="s">
        <v>402</v>
      </c>
      <c r="C275" t="s">
        <v>467</v>
      </c>
      <c r="D275" t="s">
        <v>728</v>
      </c>
      <c r="E275" t="s">
        <v>713</v>
      </c>
      <c r="F275" t="s">
        <v>468</v>
      </c>
      <c r="G275" t="str">
        <f t="shared" si="4"/>
        <v>OtherIncomeSourceIdentify</v>
      </c>
      <c r="W275" t="s">
        <v>794</v>
      </c>
    </row>
    <row r="276" spans="1:23" x14ac:dyDescent="0.25">
      <c r="A276" t="s">
        <v>130</v>
      </c>
      <c r="B276" t="s">
        <v>130</v>
      </c>
      <c r="C276" t="s">
        <v>11</v>
      </c>
      <c r="D276" s="1" t="s">
        <v>663</v>
      </c>
      <c r="E276" s="1" t="s">
        <v>69</v>
      </c>
      <c r="F276" t="s">
        <v>132</v>
      </c>
      <c r="G276" t="str">
        <f t="shared" si="4"/>
        <v>HouseholdType</v>
      </c>
      <c r="W276" t="s">
        <v>794</v>
      </c>
    </row>
    <row r="277" spans="1:23" x14ac:dyDescent="0.25">
      <c r="A277" t="s">
        <v>130</v>
      </c>
      <c r="B277" t="s">
        <v>130</v>
      </c>
      <c r="C277" t="s">
        <v>13</v>
      </c>
      <c r="D277" s="1" t="s">
        <v>663</v>
      </c>
      <c r="E277" s="1" t="s">
        <v>657</v>
      </c>
      <c r="F277" t="s">
        <v>133</v>
      </c>
      <c r="G277" t="str">
        <f t="shared" si="4"/>
        <v>Availability</v>
      </c>
      <c r="W277" t="s">
        <v>794</v>
      </c>
    </row>
    <row r="278" spans="1:23" x14ac:dyDescent="0.25">
      <c r="A278" t="s">
        <v>130</v>
      </c>
      <c r="B278" t="s">
        <v>130</v>
      </c>
      <c r="C278" t="s">
        <v>12</v>
      </c>
      <c r="D278" s="1" t="s">
        <v>663</v>
      </c>
      <c r="E278" s="1" t="s">
        <v>656</v>
      </c>
      <c r="F278" t="s">
        <v>152</v>
      </c>
      <c r="G278" t="str">
        <f t="shared" si="4"/>
        <v>ESBedType</v>
      </c>
      <c r="W278" t="s">
        <v>794</v>
      </c>
    </row>
    <row r="279" spans="1:23" x14ac:dyDescent="0.25">
      <c r="A279" t="s">
        <v>130</v>
      </c>
      <c r="B279" t="s">
        <v>130</v>
      </c>
      <c r="C279" t="s">
        <v>131</v>
      </c>
      <c r="D279" t="s">
        <v>663</v>
      </c>
      <c r="E279" t="s">
        <v>68</v>
      </c>
      <c r="F279" t="s">
        <v>117</v>
      </c>
      <c r="G279" t="str">
        <f t="shared" si="4"/>
        <v>CoCCode</v>
      </c>
      <c r="W279" t="s">
        <v>794</v>
      </c>
    </row>
    <row r="280" spans="1:23" x14ac:dyDescent="0.25">
      <c r="A280" t="s">
        <v>130</v>
      </c>
      <c r="B280" t="s">
        <v>130</v>
      </c>
      <c r="C280" t="s">
        <v>134</v>
      </c>
      <c r="D280" t="s">
        <v>663</v>
      </c>
      <c r="E280" t="s">
        <v>664</v>
      </c>
      <c r="F280" t="s">
        <v>135</v>
      </c>
      <c r="G280" t="str">
        <f t="shared" si="4"/>
        <v>UnitInventory</v>
      </c>
      <c r="W280" t="s">
        <v>794</v>
      </c>
    </row>
    <row r="281" spans="1:23" x14ac:dyDescent="0.25">
      <c r="A281" t="s">
        <v>130</v>
      </c>
      <c r="B281" t="s">
        <v>130</v>
      </c>
      <c r="C281" t="s">
        <v>136</v>
      </c>
      <c r="D281" t="s">
        <v>663</v>
      </c>
      <c r="E281" t="s">
        <v>665</v>
      </c>
      <c r="F281" t="s">
        <v>137</v>
      </c>
      <c r="G281" t="str">
        <f t="shared" si="4"/>
        <v>BedInventory</v>
      </c>
      <c r="W281" t="s">
        <v>794</v>
      </c>
    </row>
    <row r="282" spans="1:23" x14ac:dyDescent="0.25">
      <c r="A282" t="s">
        <v>130</v>
      </c>
      <c r="B282" t="s">
        <v>130</v>
      </c>
      <c r="C282" t="s">
        <v>138</v>
      </c>
      <c r="D282" t="s">
        <v>663</v>
      </c>
      <c r="E282" t="s">
        <v>660</v>
      </c>
      <c r="F282" t="s">
        <v>139</v>
      </c>
      <c r="G282" t="str">
        <f t="shared" si="4"/>
        <v>CHVetBedInventory</v>
      </c>
      <c r="W282" t="s">
        <v>794</v>
      </c>
    </row>
    <row r="283" spans="1:23" x14ac:dyDescent="0.25">
      <c r="A283" t="s">
        <v>130</v>
      </c>
      <c r="B283" t="s">
        <v>130</v>
      </c>
      <c r="C283" t="s">
        <v>140</v>
      </c>
      <c r="D283" t="s">
        <v>663</v>
      </c>
      <c r="E283" t="s">
        <v>65</v>
      </c>
      <c r="F283" t="s">
        <v>141</v>
      </c>
      <c r="G283" t="str">
        <f t="shared" si="4"/>
        <v>YouthVetBedInventory</v>
      </c>
      <c r="W283" t="s">
        <v>794</v>
      </c>
    </row>
    <row r="284" spans="1:23" x14ac:dyDescent="0.25">
      <c r="A284" t="s">
        <v>130</v>
      </c>
      <c r="B284" t="s">
        <v>130</v>
      </c>
      <c r="C284" t="s">
        <v>142</v>
      </c>
      <c r="D284" t="s">
        <v>663</v>
      </c>
      <c r="E284" t="s">
        <v>66</v>
      </c>
      <c r="F284" t="s">
        <v>143</v>
      </c>
      <c r="G284" t="str">
        <f t="shared" si="4"/>
        <v>VetBedInventory</v>
      </c>
      <c r="W284" t="s">
        <v>794</v>
      </c>
    </row>
    <row r="285" spans="1:23" x14ac:dyDescent="0.25">
      <c r="A285" t="s">
        <v>130</v>
      </c>
      <c r="B285" t="s">
        <v>130</v>
      </c>
      <c r="C285" t="s">
        <v>144</v>
      </c>
      <c r="D285" t="s">
        <v>663</v>
      </c>
      <c r="E285" t="s">
        <v>70</v>
      </c>
      <c r="F285" t="s">
        <v>145</v>
      </c>
      <c r="G285" t="str">
        <f t="shared" si="4"/>
        <v>CHYouthBedInventory</v>
      </c>
      <c r="W285" t="s">
        <v>794</v>
      </c>
    </row>
    <row r="286" spans="1:23" x14ac:dyDescent="0.25">
      <c r="A286" t="s">
        <v>130</v>
      </c>
      <c r="B286" t="s">
        <v>130</v>
      </c>
      <c r="C286" t="s">
        <v>146</v>
      </c>
      <c r="D286" t="s">
        <v>663</v>
      </c>
      <c r="E286" t="s">
        <v>666</v>
      </c>
      <c r="F286" t="s">
        <v>147</v>
      </c>
      <c r="G286" t="str">
        <f t="shared" si="4"/>
        <v>YouthBedInventory</v>
      </c>
      <c r="W286" t="s">
        <v>794</v>
      </c>
    </row>
    <row r="287" spans="1:23" x14ac:dyDescent="0.25">
      <c r="A287" t="s">
        <v>130</v>
      </c>
      <c r="B287" t="s">
        <v>130</v>
      </c>
      <c r="C287" t="s">
        <v>148</v>
      </c>
      <c r="D287" t="s">
        <v>663</v>
      </c>
      <c r="E287" t="s">
        <v>667</v>
      </c>
      <c r="F287" t="s">
        <v>149</v>
      </c>
      <c r="G287" t="str">
        <f t="shared" si="4"/>
        <v>CHBedInventory</v>
      </c>
      <c r="W287" t="s">
        <v>794</v>
      </c>
    </row>
    <row r="288" spans="1:23" x14ac:dyDescent="0.25">
      <c r="A288" t="s">
        <v>130</v>
      </c>
      <c r="B288" t="s">
        <v>130</v>
      </c>
      <c r="C288" t="s">
        <v>150</v>
      </c>
      <c r="D288" t="s">
        <v>663</v>
      </c>
      <c r="E288" t="s">
        <v>668</v>
      </c>
      <c r="F288" t="s">
        <v>151</v>
      </c>
      <c r="G288" t="str">
        <f t="shared" si="4"/>
        <v>OtherBedInventory</v>
      </c>
      <c r="W288" t="s">
        <v>794</v>
      </c>
    </row>
    <row r="289" spans="1:23" x14ac:dyDescent="0.25">
      <c r="A289" t="s">
        <v>130</v>
      </c>
      <c r="B289" t="s">
        <v>130</v>
      </c>
      <c r="C289" t="s">
        <v>153</v>
      </c>
      <c r="D289" t="s">
        <v>663</v>
      </c>
      <c r="E289" t="s">
        <v>64</v>
      </c>
      <c r="F289" t="s">
        <v>154</v>
      </c>
      <c r="G289" t="str">
        <f t="shared" si="4"/>
        <v>InventoryStartDate</v>
      </c>
      <c r="W289" t="s">
        <v>794</v>
      </c>
    </row>
    <row r="290" spans="1:23" x14ac:dyDescent="0.25">
      <c r="A290" t="s">
        <v>130</v>
      </c>
      <c r="B290" t="s">
        <v>130</v>
      </c>
      <c r="C290" t="s">
        <v>155</v>
      </c>
      <c r="D290" t="s">
        <v>663</v>
      </c>
      <c r="E290" t="s">
        <v>67</v>
      </c>
      <c r="F290" t="s">
        <v>156</v>
      </c>
      <c r="G290" t="str">
        <f t="shared" si="4"/>
        <v>InventoryEndDate</v>
      </c>
      <c r="W290" t="s">
        <v>794</v>
      </c>
    </row>
    <row r="291" spans="1:23" x14ac:dyDescent="0.25">
      <c r="A291" t="s">
        <v>93</v>
      </c>
      <c r="B291" t="s">
        <v>93</v>
      </c>
      <c r="C291" t="s">
        <v>98</v>
      </c>
      <c r="D291" s="1" t="s">
        <v>652</v>
      </c>
      <c r="E291" s="1" t="s">
        <v>68</v>
      </c>
      <c r="F291" t="s">
        <v>99</v>
      </c>
      <c r="G291" t="str">
        <f t="shared" si="4"/>
        <v>VictimServiceProvider</v>
      </c>
      <c r="W291" t="s">
        <v>794</v>
      </c>
    </row>
    <row r="292" spans="1:23" x14ac:dyDescent="0.25">
      <c r="A292" t="s">
        <v>93</v>
      </c>
      <c r="B292" t="s">
        <v>93</v>
      </c>
      <c r="C292" t="s">
        <v>94</v>
      </c>
      <c r="D292" t="s">
        <v>652</v>
      </c>
      <c r="E292" t="s">
        <v>653</v>
      </c>
      <c r="F292" t="s">
        <v>95</v>
      </c>
      <c r="G292" t="str">
        <f t="shared" si="4"/>
        <v>OrganizationID </v>
      </c>
      <c r="W292" t="s">
        <v>794</v>
      </c>
    </row>
    <row r="293" spans="1:23" x14ac:dyDescent="0.25">
      <c r="A293" t="s">
        <v>93</v>
      </c>
      <c r="B293" t="s">
        <v>93</v>
      </c>
      <c r="C293" t="s">
        <v>96</v>
      </c>
      <c r="D293" t="s">
        <v>652</v>
      </c>
      <c r="E293" t="s">
        <v>654</v>
      </c>
      <c r="F293" t="s">
        <v>97</v>
      </c>
      <c r="G293" t="str">
        <f t="shared" si="4"/>
        <v>OrganizationName </v>
      </c>
      <c r="W293" t="s">
        <v>794</v>
      </c>
    </row>
    <row r="294" spans="1:23" x14ac:dyDescent="0.25">
      <c r="A294" t="s">
        <v>1</v>
      </c>
      <c r="B294" t="s">
        <v>1</v>
      </c>
      <c r="C294" t="s">
        <v>80</v>
      </c>
      <c r="D294" s="1" t="s">
        <v>655</v>
      </c>
      <c r="E294" s="1" t="s">
        <v>656</v>
      </c>
      <c r="F294" t="s">
        <v>81</v>
      </c>
      <c r="G294" t="str">
        <f t="shared" si="4"/>
        <v>ContinuumProject</v>
      </c>
      <c r="S294" t="s">
        <v>794</v>
      </c>
      <c r="W294" t="s">
        <v>794</v>
      </c>
    </row>
    <row r="295" spans="1:23" x14ac:dyDescent="0.25">
      <c r="A295" t="s">
        <v>1</v>
      </c>
      <c r="B295" t="s">
        <v>1</v>
      </c>
      <c r="C295" t="s">
        <v>4</v>
      </c>
      <c r="D295" s="1" t="s">
        <v>655</v>
      </c>
      <c r="E295" s="1" t="s">
        <v>657</v>
      </c>
      <c r="F295" t="s">
        <v>0</v>
      </c>
      <c r="G295" t="str">
        <f t="shared" si="4"/>
        <v>ProjectType</v>
      </c>
      <c r="R295" t="s">
        <v>794</v>
      </c>
      <c r="S295" t="s">
        <v>794</v>
      </c>
      <c r="T295" t="s">
        <v>794</v>
      </c>
      <c r="W295" t="s">
        <v>794</v>
      </c>
    </row>
    <row r="296" spans="1:23" x14ac:dyDescent="0.25">
      <c r="A296" t="s">
        <v>1</v>
      </c>
      <c r="B296" t="s">
        <v>1</v>
      </c>
      <c r="C296" t="s">
        <v>8</v>
      </c>
      <c r="D296" s="1" t="s">
        <v>655</v>
      </c>
      <c r="E296" s="1" t="s">
        <v>104</v>
      </c>
      <c r="F296" t="s">
        <v>82</v>
      </c>
      <c r="G296" t="str">
        <f t="shared" si="4"/>
        <v>HousingType</v>
      </c>
      <c r="S296" t="s">
        <v>794</v>
      </c>
      <c r="W296" t="s">
        <v>794</v>
      </c>
    </row>
    <row r="297" spans="1:23" x14ac:dyDescent="0.25">
      <c r="A297" t="s">
        <v>1</v>
      </c>
      <c r="B297" t="s">
        <v>1</v>
      </c>
      <c r="C297" t="s">
        <v>7</v>
      </c>
      <c r="D297" s="1" t="s">
        <v>655</v>
      </c>
      <c r="E297" s="1" t="s">
        <v>658</v>
      </c>
      <c r="F297" t="s">
        <v>83</v>
      </c>
      <c r="G297" t="str">
        <f t="shared" si="4"/>
        <v>RRHSubType</v>
      </c>
      <c r="S297" t="s">
        <v>794</v>
      </c>
      <c r="W297" t="s">
        <v>794</v>
      </c>
    </row>
    <row r="298" spans="1:23" x14ac:dyDescent="0.25">
      <c r="A298" t="s">
        <v>1</v>
      </c>
      <c r="B298" t="s">
        <v>1</v>
      </c>
      <c r="C298" t="s">
        <v>84</v>
      </c>
      <c r="D298" s="1" t="s">
        <v>655</v>
      </c>
      <c r="E298" s="1" t="s">
        <v>659</v>
      </c>
      <c r="F298" t="s">
        <v>85</v>
      </c>
      <c r="G298" t="str">
        <f t="shared" si="4"/>
        <v>ResidentialAffiliation</v>
      </c>
      <c r="W298" t="s">
        <v>794</v>
      </c>
    </row>
    <row r="299" spans="1:23" x14ac:dyDescent="0.25">
      <c r="A299" t="s">
        <v>1</v>
      </c>
      <c r="B299" t="s">
        <v>1</v>
      </c>
      <c r="C299" t="s">
        <v>5</v>
      </c>
      <c r="D299" s="1" t="s">
        <v>655</v>
      </c>
      <c r="E299" s="1" t="s">
        <v>660</v>
      </c>
      <c r="F299" t="s">
        <v>86</v>
      </c>
      <c r="G299" t="str">
        <f t="shared" si="4"/>
        <v>TargetPopulation</v>
      </c>
      <c r="W299" t="s">
        <v>794</v>
      </c>
    </row>
    <row r="300" spans="1:23" x14ac:dyDescent="0.25">
      <c r="A300" t="s">
        <v>1</v>
      </c>
      <c r="B300" t="s">
        <v>1</v>
      </c>
      <c r="C300" t="s">
        <v>6</v>
      </c>
      <c r="D300" s="1" t="s">
        <v>655</v>
      </c>
      <c r="E300" s="1" t="s">
        <v>65</v>
      </c>
      <c r="F300" t="s">
        <v>87</v>
      </c>
      <c r="G300" t="str">
        <f t="shared" si="4"/>
        <v>HOPWAMedAssistedLivingFac</v>
      </c>
      <c r="W300" t="s">
        <v>794</v>
      </c>
    </row>
    <row r="301" spans="1:23" x14ac:dyDescent="0.25">
      <c r="A301" t="s">
        <v>1</v>
      </c>
      <c r="B301" t="s">
        <v>1</v>
      </c>
      <c r="C301" t="s">
        <v>73</v>
      </c>
      <c r="D301" t="s">
        <v>655</v>
      </c>
      <c r="E301" t="s">
        <v>64</v>
      </c>
      <c r="F301" t="s">
        <v>2</v>
      </c>
      <c r="G301" t="str">
        <f t="shared" si="4"/>
        <v>ProjectID</v>
      </c>
      <c r="N301" t="s">
        <v>794</v>
      </c>
      <c r="O301" t="s">
        <v>794</v>
      </c>
      <c r="W301" t="s">
        <v>794</v>
      </c>
    </row>
    <row r="302" spans="1:23" x14ac:dyDescent="0.25">
      <c r="A302" t="s">
        <v>1</v>
      </c>
      <c r="B302" t="s">
        <v>1</v>
      </c>
      <c r="C302" t="s">
        <v>102</v>
      </c>
      <c r="D302" t="s">
        <v>652</v>
      </c>
      <c r="E302" t="s">
        <v>64</v>
      </c>
      <c r="F302" t="s">
        <v>103</v>
      </c>
      <c r="G302" t="str">
        <f t="shared" si="4"/>
        <v>OrganizationID</v>
      </c>
      <c r="S302" t="s">
        <v>794</v>
      </c>
      <c r="W302" t="s">
        <v>794</v>
      </c>
    </row>
    <row r="303" spans="1:23" x14ac:dyDescent="0.25">
      <c r="A303" t="s">
        <v>1</v>
      </c>
      <c r="B303" t="s">
        <v>1</v>
      </c>
      <c r="C303" t="s">
        <v>74</v>
      </c>
      <c r="D303" t="s">
        <v>655</v>
      </c>
      <c r="E303" t="s">
        <v>67</v>
      </c>
      <c r="F303" t="s">
        <v>75</v>
      </c>
      <c r="G303" t="str">
        <f t="shared" si="4"/>
        <v>ProjectName</v>
      </c>
      <c r="O303" t="s">
        <v>794</v>
      </c>
      <c r="Q303" t="s">
        <v>794</v>
      </c>
      <c r="S303" t="s">
        <v>794</v>
      </c>
      <c r="U303" t="s">
        <v>794</v>
      </c>
      <c r="W303" t="s">
        <v>794</v>
      </c>
    </row>
    <row r="304" spans="1:23" x14ac:dyDescent="0.25">
      <c r="A304" t="s">
        <v>1</v>
      </c>
      <c r="B304" t="s">
        <v>1</v>
      </c>
      <c r="C304" t="s">
        <v>76</v>
      </c>
      <c r="D304" t="s">
        <v>655</v>
      </c>
      <c r="E304" t="s">
        <v>68</v>
      </c>
      <c r="F304" t="s">
        <v>77</v>
      </c>
      <c r="G304" t="str">
        <f t="shared" si="4"/>
        <v>OperatingStartDate</v>
      </c>
      <c r="R304" t="s">
        <v>794</v>
      </c>
      <c r="S304" t="s">
        <v>794</v>
      </c>
      <c r="W304" t="s">
        <v>794</v>
      </c>
    </row>
    <row r="305" spans="1:23" x14ac:dyDescent="0.25">
      <c r="A305" t="s">
        <v>1</v>
      </c>
      <c r="B305" t="s">
        <v>1</v>
      </c>
      <c r="C305" t="s">
        <v>78</v>
      </c>
      <c r="D305" t="s">
        <v>655</v>
      </c>
      <c r="E305" t="s">
        <v>69</v>
      </c>
      <c r="F305" t="s">
        <v>79</v>
      </c>
      <c r="G305" t="str">
        <f t="shared" si="4"/>
        <v>OperatingEndDate</v>
      </c>
      <c r="R305" t="s">
        <v>794</v>
      </c>
      <c r="S305" t="s">
        <v>794</v>
      </c>
      <c r="W305" t="s">
        <v>794</v>
      </c>
    </row>
    <row r="306" spans="1:23" x14ac:dyDescent="0.25">
      <c r="A306" t="s">
        <v>1</v>
      </c>
      <c r="B306" t="s">
        <v>88</v>
      </c>
      <c r="C306" t="s">
        <v>89</v>
      </c>
      <c r="D306" t="s">
        <v>655</v>
      </c>
      <c r="E306" t="s">
        <v>669</v>
      </c>
      <c r="F306" t="s">
        <v>90</v>
      </c>
      <c r="G306" t="str">
        <f t="shared" si="4"/>
        <v>ResProjectID</v>
      </c>
      <c r="W306" t="s">
        <v>794</v>
      </c>
    </row>
    <row r="307" spans="1:23" x14ac:dyDescent="0.25">
      <c r="A307" t="s">
        <v>776</v>
      </c>
      <c r="B307" t="s">
        <v>402</v>
      </c>
      <c r="C307" t="s">
        <v>527</v>
      </c>
      <c r="D307" s="1" t="s">
        <v>61</v>
      </c>
      <c r="E307" s="1" t="s">
        <v>68</v>
      </c>
      <c r="F307" t="s">
        <v>528</v>
      </c>
      <c r="G307" t="str">
        <f t="shared" si="4"/>
        <v>ADAP</v>
      </c>
      <c r="W307" t="s">
        <v>794</v>
      </c>
    </row>
    <row r="308" spans="1:23" x14ac:dyDescent="0.25">
      <c r="A308" t="s">
        <v>776</v>
      </c>
      <c r="B308" t="s">
        <v>402</v>
      </c>
      <c r="C308" t="s">
        <v>529</v>
      </c>
      <c r="D308" s="1" t="s">
        <v>61</v>
      </c>
      <c r="E308" s="1" t="s">
        <v>659</v>
      </c>
      <c r="F308" t="s">
        <v>530</v>
      </c>
      <c r="G308" t="str">
        <f t="shared" si="4"/>
        <v>NoADAPReason</v>
      </c>
      <c r="W308" t="s">
        <v>794</v>
      </c>
    </row>
    <row r="309" spans="1:23" x14ac:dyDescent="0.25">
      <c r="A309" t="s">
        <v>776</v>
      </c>
      <c r="B309" t="s">
        <v>402</v>
      </c>
      <c r="C309" t="s">
        <v>531</v>
      </c>
      <c r="D309" s="1" t="s">
        <v>61</v>
      </c>
      <c r="E309" s="1" t="s">
        <v>69</v>
      </c>
      <c r="F309" t="s">
        <v>532</v>
      </c>
      <c r="G309" t="str">
        <f t="shared" si="4"/>
        <v>RyanWhiteMedDent</v>
      </c>
      <c r="W309" t="s">
        <v>794</v>
      </c>
    </row>
    <row r="310" spans="1:23" x14ac:dyDescent="0.25">
      <c r="A310" t="s">
        <v>776</v>
      </c>
      <c r="B310" t="s">
        <v>402</v>
      </c>
      <c r="C310" t="s">
        <v>533</v>
      </c>
      <c r="D310" s="1" t="s">
        <v>61</v>
      </c>
      <c r="E310" s="1" t="s">
        <v>669</v>
      </c>
      <c r="F310" t="s">
        <v>534</v>
      </c>
      <c r="G310" t="str">
        <f t="shared" si="4"/>
        <v>NoRyanWhiteReason</v>
      </c>
      <c r="W310" t="s">
        <v>794</v>
      </c>
    </row>
    <row r="311" spans="1:23" x14ac:dyDescent="0.25">
      <c r="A311" t="s">
        <v>776</v>
      </c>
      <c r="B311" t="s">
        <v>402</v>
      </c>
      <c r="C311" t="s">
        <v>535</v>
      </c>
      <c r="D311" s="1" t="s">
        <v>744</v>
      </c>
      <c r="E311" s="1" t="s">
        <v>64</v>
      </c>
      <c r="F311" t="s">
        <v>536</v>
      </c>
      <c r="G311" t="str">
        <f t="shared" si="4"/>
        <v>ConnectionWithSOAR</v>
      </c>
      <c r="W311" t="s">
        <v>794</v>
      </c>
    </row>
    <row r="312" spans="1:23" x14ac:dyDescent="0.25">
      <c r="A312" t="s">
        <v>776</v>
      </c>
      <c r="B312" t="s">
        <v>576</v>
      </c>
      <c r="C312" t="s">
        <v>590</v>
      </c>
      <c r="D312" s="1" t="s">
        <v>590</v>
      </c>
      <c r="F312" t="s">
        <v>591</v>
      </c>
      <c r="G312" t="str">
        <f t="shared" si="4"/>
        <v>ReferralOutcome</v>
      </c>
      <c r="W312" t="s">
        <v>794</v>
      </c>
    </row>
    <row r="313" spans="1:23" x14ac:dyDescent="0.25">
      <c r="A313" t="s">
        <v>776</v>
      </c>
      <c r="B313" t="s">
        <v>576</v>
      </c>
      <c r="C313" t="s">
        <v>577</v>
      </c>
      <c r="D313" t="s">
        <v>757</v>
      </c>
      <c r="E313" t="s">
        <v>104</v>
      </c>
      <c r="F313" t="s">
        <v>578</v>
      </c>
      <c r="G313" t="str">
        <f t="shared" si="4"/>
        <v>OtherTypeProvided</v>
      </c>
      <c r="W313" t="s">
        <v>794</v>
      </c>
    </row>
    <row r="314" spans="1:23" x14ac:dyDescent="0.25">
      <c r="A314" t="s">
        <v>776</v>
      </c>
      <c r="B314" t="s">
        <v>576</v>
      </c>
      <c r="C314" t="s">
        <v>579</v>
      </c>
      <c r="D314" t="s">
        <v>758</v>
      </c>
      <c r="E314" t="s">
        <v>658</v>
      </c>
      <c r="F314" t="s">
        <v>578</v>
      </c>
      <c r="G314" t="str">
        <f t="shared" si="4"/>
        <v>OtherTypeProvided</v>
      </c>
      <c r="W314" t="s">
        <v>794</v>
      </c>
    </row>
    <row r="315" spans="1:23" x14ac:dyDescent="0.25">
      <c r="A315" t="s">
        <v>776</v>
      </c>
      <c r="B315" t="s">
        <v>576</v>
      </c>
      <c r="C315" t="s">
        <v>580</v>
      </c>
      <c r="D315" t="s">
        <v>759</v>
      </c>
      <c r="E315" t="s">
        <v>692</v>
      </c>
      <c r="F315" t="s">
        <v>581</v>
      </c>
      <c r="G315" t="str">
        <f t="shared" si="4"/>
        <v>MovingOnOtherType</v>
      </c>
      <c r="W315" t="s">
        <v>794</v>
      </c>
    </row>
    <row r="316" spans="1:23" x14ac:dyDescent="0.25">
      <c r="A316" t="s">
        <v>776</v>
      </c>
      <c r="B316" t="s">
        <v>576</v>
      </c>
      <c r="C316" t="s">
        <v>49</v>
      </c>
      <c r="D316" t="s">
        <v>757</v>
      </c>
      <c r="E316" t="s">
        <v>658</v>
      </c>
      <c r="F316" t="s">
        <v>582</v>
      </c>
      <c r="G316" t="str">
        <f t="shared" si="4"/>
        <v>SubTypeProvided</v>
      </c>
      <c r="W316" t="s">
        <v>794</v>
      </c>
    </row>
    <row r="317" spans="1:23" x14ac:dyDescent="0.25">
      <c r="A317" t="s">
        <v>776</v>
      </c>
      <c r="B317" t="s">
        <v>576</v>
      </c>
      <c r="C317" t="s">
        <v>50</v>
      </c>
      <c r="D317" t="s">
        <v>757</v>
      </c>
      <c r="E317" t="s">
        <v>659</v>
      </c>
      <c r="F317" t="s">
        <v>582</v>
      </c>
      <c r="G317" t="str">
        <f t="shared" si="4"/>
        <v>SubTypeProvided</v>
      </c>
      <c r="W317" t="s">
        <v>794</v>
      </c>
    </row>
    <row r="318" spans="1:23" x14ac:dyDescent="0.25">
      <c r="A318" t="s">
        <v>776</v>
      </c>
      <c r="B318" t="s">
        <v>576</v>
      </c>
      <c r="C318" t="s">
        <v>51</v>
      </c>
      <c r="D318" t="s">
        <v>757</v>
      </c>
      <c r="E318" t="s">
        <v>669</v>
      </c>
      <c r="F318" t="s">
        <v>582</v>
      </c>
      <c r="G318" t="str">
        <f t="shared" si="4"/>
        <v>SubTypeProvided</v>
      </c>
      <c r="W318" t="s">
        <v>794</v>
      </c>
    </row>
    <row r="319" spans="1:23" x14ac:dyDescent="0.25">
      <c r="A319" t="s">
        <v>776</v>
      </c>
      <c r="B319" t="s">
        <v>576</v>
      </c>
      <c r="C319" t="s">
        <v>583</v>
      </c>
      <c r="D319" t="s">
        <v>583</v>
      </c>
      <c r="E319"/>
      <c r="F319" t="s">
        <v>584</v>
      </c>
      <c r="G319" t="str">
        <f t="shared" si="4"/>
        <v>FAAmount</v>
      </c>
      <c r="W319" t="s">
        <v>794</v>
      </c>
    </row>
    <row r="320" spans="1:23" x14ac:dyDescent="0.25">
      <c r="A320" t="s">
        <v>776</v>
      </c>
      <c r="B320" t="s">
        <v>576</v>
      </c>
      <c r="C320" t="s">
        <v>586</v>
      </c>
      <c r="D320" t="s">
        <v>760</v>
      </c>
      <c r="E320" t="s">
        <v>67</v>
      </c>
      <c r="F320" t="s">
        <v>584</v>
      </c>
      <c r="G320" t="str">
        <f t="shared" si="4"/>
        <v>FAAmount</v>
      </c>
      <c r="W320" t="s">
        <v>794</v>
      </c>
    </row>
    <row r="321" spans="1:23" x14ac:dyDescent="0.25">
      <c r="A321" t="s">
        <v>776</v>
      </c>
      <c r="B321" t="s">
        <v>576</v>
      </c>
      <c r="C321" t="s">
        <v>587</v>
      </c>
      <c r="D321" t="s">
        <v>760</v>
      </c>
      <c r="E321" t="s">
        <v>64</v>
      </c>
      <c r="F321" t="s">
        <v>588</v>
      </c>
      <c r="G321" t="str">
        <f t="shared" si="4"/>
        <v>FAStartDate</v>
      </c>
      <c r="W321" t="s">
        <v>794</v>
      </c>
    </row>
    <row r="322" spans="1:23" x14ac:dyDescent="0.25">
      <c r="A322" t="s">
        <v>776</v>
      </c>
      <c r="B322" t="s">
        <v>576</v>
      </c>
      <c r="C322" t="s">
        <v>52</v>
      </c>
      <c r="D322" t="s">
        <v>760</v>
      </c>
      <c r="E322" t="s">
        <v>69</v>
      </c>
      <c r="F322" t="s">
        <v>589</v>
      </c>
      <c r="G322" t="str">
        <f t="shared" si="4"/>
        <v>FAEndDate</v>
      </c>
      <c r="W322" t="s">
        <v>794</v>
      </c>
    </row>
    <row r="323" spans="1:23" x14ac:dyDescent="0.25">
      <c r="A323" t="s">
        <v>776</v>
      </c>
      <c r="B323" t="s">
        <v>576</v>
      </c>
      <c r="C323" t="s">
        <v>592</v>
      </c>
      <c r="D323" t="s">
        <v>761</v>
      </c>
      <c r="E323" t="s">
        <v>656</v>
      </c>
      <c r="F323" t="s">
        <v>593</v>
      </c>
      <c r="G323" t="str">
        <f t="shared" ref="G323:G324" si="5">F323</f>
        <v>ExportID</v>
      </c>
      <c r="W323" t="s">
        <v>794</v>
      </c>
    </row>
    <row r="324" spans="1:23" x14ac:dyDescent="0.25">
      <c r="A324" t="s">
        <v>100</v>
      </c>
      <c r="B324" t="s">
        <v>100</v>
      </c>
      <c r="C324">
        <v>5.07</v>
      </c>
      <c r="D324">
        <v>5.07</v>
      </c>
      <c r="E324"/>
      <c r="F324" t="s">
        <v>101</v>
      </c>
      <c r="G324" t="str">
        <f t="shared" si="5"/>
        <v>UserID</v>
      </c>
      <c r="W324" t="s">
        <v>794</v>
      </c>
    </row>
  </sheetData>
  <autoFilter ref="A1:F324" xr:uid="{DB93252E-A6E2-4071-8873-ACEB1A5EDFC9}">
    <sortState xmlns:xlrd2="http://schemas.microsoft.com/office/spreadsheetml/2017/richdata2" ref="A2:F324">
      <sortCondition ref="A1:A32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2ccbf35-dcc7-4590-9537-6d71d0e4df17">
      <Terms xmlns="http://schemas.microsoft.com/office/infopath/2007/PartnerControls"/>
    </lcf76f155ced4ddcb4097134ff3c332f>
    <_ip_UnifiedCompliancePolicyProperties xmlns="http://schemas.microsoft.com/sharepoint/v3" xsi:nil="true"/>
    <TaxCatchAll xmlns="b5134ab8-3d65-4fc5-b690-e8cc6b15e5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FF526F6E9D64093B84A5D6336AF1C" ma:contentTypeVersion="16" ma:contentTypeDescription="Create a new document." ma:contentTypeScope="" ma:versionID="ec2a59bca33862e92780000e5cc9d237">
  <xsd:schema xmlns:xsd="http://www.w3.org/2001/XMLSchema" xmlns:xs="http://www.w3.org/2001/XMLSchema" xmlns:p="http://schemas.microsoft.com/office/2006/metadata/properties" xmlns:ns1="http://schemas.microsoft.com/sharepoint/v3" xmlns:ns2="72ccbf35-dcc7-4590-9537-6d71d0e4df17" xmlns:ns3="b5134ab8-3d65-4fc5-b690-e8cc6b15e593" targetNamespace="http://schemas.microsoft.com/office/2006/metadata/properties" ma:root="true" ma:fieldsID="eee68804191b6b7c7ec93e807b7ee44e" ns1:_="" ns2:_="" ns3:_="">
    <xsd:import namespace="http://schemas.microsoft.com/sharepoint/v3"/>
    <xsd:import namespace="72ccbf35-dcc7-4590-9537-6d71d0e4df17"/>
    <xsd:import namespace="b5134ab8-3d65-4fc5-b690-e8cc6b15e5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cbf35-dcc7-4590-9537-6d71d0e4d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4ab8-3d65-4fc5-b690-e8cc6b15e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a472df6-c515-4947-b34e-afcc23c580e2}" ma:internalName="TaxCatchAll" ma:showField="CatchAllData" ma:web="b5134ab8-3d65-4fc5-b690-e8cc6b15e5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6BE52-4412-4FF2-8EB5-C31823633ED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ccbf35-dcc7-4590-9537-6d71d0e4df17"/>
    <ds:schemaRef ds:uri="b5134ab8-3d65-4fc5-b690-e8cc6b15e593"/>
  </ds:schemaRefs>
</ds:datastoreItem>
</file>

<file path=customXml/itemProps2.xml><?xml version="1.0" encoding="utf-8"?>
<ds:datastoreItem xmlns:ds="http://schemas.openxmlformats.org/officeDocument/2006/customXml" ds:itemID="{767417FB-96C0-404E-BAD3-1F2A089AF5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98A2D-0ECA-4D2A-B7B7-ABE378DC7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ccbf35-dcc7-4590-9537-6d71d0e4df17"/>
    <ds:schemaRef ds:uri="b5134ab8-3d65-4fc5-b690-e8cc6b15e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</vt:lpstr>
      <vt:lpstr>ScenarioMapping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Tuioti, Grant</dc:creator>
  <cp:lastModifiedBy>Tuioti, Grant</cp:lastModifiedBy>
  <dcterms:created xsi:type="dcterms:W3CDTF">2026-03-10T00:00:30Z</dcterms:created>
  <dcterms:modified xsi:type="dcterms:W3CDTF">2026-08-28T18:34:11Z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0x010100D74FF526F6E9D64093B84A5D6336AF1C</vt:lpwstr>
  </property>
  <property fmtid="{D5CDD505-2E9C-101B-9397-08002B2CF9AE}" pid="3" name="MediaServiceImageTags">
    <vt:lpwstr/>
  </property>
</Properties>
</file>